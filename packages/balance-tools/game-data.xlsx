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2"/>
  </bookViews>
  <sheets>
    <sheet sheetId="1" name="attack-damage" state="visible" r:id="rId4"/>
    <sheet sheetId="2" name="by-level-attribute-visual" state="visible" r:id="rId5"/>
    <sheet sheetId="3" name="balancing" state="visible" r:id="rId6"/>
    <sheet sheetId="4" name="equipment-armor" state="visible" r:id="rId7"/>
    <sheet sheetId="5" name="equipment-weapons" state="visible" r:id="rId8"/>
    <sheet sheetId="6" name="equipment-shields" state="visible" r:id="rId9"/>
    <sheet sheetId="7" name="equipment-jewelry" state="visible" r:id="rId10"/>
    <sheet sheetId="8" name="equipment-affix-profiles" state="visible" r:id="rId11"/>
    <sheet sheetId="9" name="equipment-affix-overrides" state="visible" r:id="rId12"/>
    <sheet sheetId="10" name="class-starting-attributes" state="visible" r:id="rId13"/>
    <sheet sheetId="11" name="class-attributes-per-level" state="visible" r:id="rId14"/>
    <sheet sheetId="12" name="monster-starting-attributes" state="visible" r:id="rId15"/>
    <sheet sheetId="13" name="monster-attributes-per-level" state="visible" r:id="rId16"/>
  </sheets>
  <definedNames>
    <definedName name="ArmorClassModifier">balancing!$B$9</definedName>
    <definedName name="CombatantLevelAttributeMod">balancing!$B$10</definedName>
    <definedName name="RogueDexPerLvl">'class-attributes-per-level'!$C$3</definedName>
    <definedName name="RogueStrPerLvl">'class-attributes-per-level'!$B$3</definedName>
    <definedName name="WarriorAgiPerLvl">'class-attributes-per-level'!$F$2</definedName>
    <definedName name="WarriorDexPerLvl">'class-attributes-per-level'!$C$2</definedName>
    <definedName name="WarriorSprPerLvl">'class-attributes-per-level'!$D$2</definedName>
    <definedName name="WarriorStrPerLvl">'class-attributes-per-level'!$B$2</definedName>
    <definedName name="WarriorVitPerLvl">'class-attributes-per-level'!$E$2</definedName>
  </definedNames>
  <calcPr calcId="171027"/>
</workbook>
</file>

<file path=xl/sharedStrings.xml><?xml version="1.0" encoding="utf-8"?>
<sst xmlns="http://schemas.openxmlformats.org/spreadsheetml/2006/main" count="573" uniqueCount="231">
  <si>
    <t>minDmg</t>
  </si>
  <si>
    <t>maxDmg</t>
  </si>
  <si>
    <t>Max attribute</t>
  </si>
  <si>
    <t>Believable attribute</t>
  </si>
  <si>
    <t>Warrior Inherent</t>
  </si>
  <si>
    <t>Level</t>
  </si>
  <si>
    <t>Str</t>
  </si>
  <si>
    <t>Dex</t>
  </si>
  <si>
    <t>Spr</t>
  </si>
  <si>
    <t>Vit</t>
  </si>
  <si>
    <t>Agi</t>
  </si>
  <si>
    <t>Rogue Inherent</t>
  </si>
  <si>
    <t>Total AC Body+Headgear per tier</t>
  </si>
  <si>
    <t>Plate</t>
  </si>
  <si>
    <t>Mail</t>
  </si>
  <si>
    <t>Leather</t>
  </si>
  <si>
    <t>Cloth</t>
  </si>
  <si>
    <t>T1</t>
  </si>
  <si>
    <t>T2</t>
  </si>
  <si>
    <t>T3</t>
  </si>
  <si>
    <t>T4</t>
  </si>
  <si>
    <t>T5</t>
  </si>
  <si>
    <t>Ac Modifier</t>
  </si>
  <si>
    <t>Level Attribute Mod</t>
  </si>
  <si>
    <t>Shields</t>
  </si>
  <si>
    <t>Average</t>
  </si>
  <si>
    <t>Average Hit</t>
  </si>
  <si>
    <t>With Shield</t>
  </si>
  <si>
    <t>Gear slot count</t>
  </si>
  <si>
    <t>Max attribute per slot</t>
  </si>
  <si>
    <t>Derived attribute mod</t>
  </si>
  <si>
    <t>Max derived per slot</t>
  </si>
  <si>
    <t>Discretionary per main lvl</t>
  </si>
  <si>
    <t>Max Level Main</t>
  </si>
  <si>
    <t>Discretionary main total</t>
  </si>
  <si>
    <t>Max level Sub</t>
  </si>
  <si>
    <t>Discretionary per sub lvl</t>
  </si>
  <si>
    <t>Discretionary sub total</t>
  </si>
  <si>
    <t>Discretionary total</t>
  </si>
  <si>
    <t>Max attributes gear</t>
  </si>
  <si>
    <t>Max inherent single</t>
  </si>
  <si>
    <t>Single attribute max</t>
  </si>
  <si>
    <t>Believable percent allocated to single attribute</t>
  </si>
  <si>
    <t>Avg high attribute alloc</t>
  </si>
  <si>
    <t>baseItem</t>
  </si>
  <si>
    <t>equipmentType</t>
  </si>
  <si>
    <t>affixProfile</t>
  </si>
  <si>
    <t>minLvl</t>
  </si>
  <si>
    <t>maxLvl</t>
  </si>
  <si>
    <t>minAc</t>
  </si>
  <si>
    <t>maxAc</t>
  </si>
  <si>
    <t>armorCategory</t>
  </si>
  <si>
    <t>maxDura</t>
  </si>
  <si>
    <t>reqStr</t>
  </si>
  <si>
    <t>reqDex</t>
  </si>
  <si>
    <t>reqSpr</t>
  </si>
  <si>
    <t>reqVit</t>
  </si>
  <si>
    <t>reqAgi</t>
  </si>
  <si>
    <t>Rags</t>
  </si>
  <si>
    <t>BodyArmor</t>
  </si>
  <si>
    <t>BodyArmorCloth</t>
  </si>
  <si>
    <t>Cloak</t>
  </si>
  <si>
    <t>Robe</t>
  </si>
  <si>
    <t>OfficersRobe</t>
  </si>
  <si>
    <t>MageRobe</t>
  </si>
  <si>
    <t>Cap</t>
  </si>
  <si>
    <t>HeadGear</t>
  </si>
  <si>
    <t>HeadGearCloth</t>
  </si>
  <si>
    <t>Bandana</t>
  </si>
  <si>
    <t>PaddedCap</t>
  </si>
  <si>
    <t>Ribbon</t>
  </si>
  <si>
    <t>WizardHat</t>
  </si>
  <si>
    <t>LeatherVest</t>
  </si>
  <si>
    <t>BodyArmorLeather</t>
  </si>
  <si>
    <t>HardLeather</t>
  </si>
  <si>
    <t>StuddedLeather</t>
  </si>
  <si>
    <t>DemonsaurLeather</t>
  </si>
  <si>
    <t>Eyepatch</t>
  </si>
  <si>
    <t>HeadGearLeather</t>
  </si>
  <si>
    <t>LeatherHat</t>
  </si>
  <si>
    <t>LeatherHelm</t>
  </si>
  <si>
    <t>DemonsaurHelm</t>
  </si>
  <si>
    <t>RingMail</t>
  </si>
  <si>
    <t>BodyArmorMail</t>
  </si>
  <si>
    <t>ChainMail</t>
  </si>
  <si>
    <t>SplintMail</t>
  </si>
  <si>
    <t>FeatherMail</t>
  </si>
  <si>
    <t>OhmushellMail</t>
  </si>
  <si>
    <t>Hairpin</t>
  </si>
  <si>
    <t>HeadGearMail</t>
  </si>
  <si>
    <t>Skullcap</t>
  </si>
  <si>
    <t>Coif</t>
  </si>
  <si>
    <t>OhmushellMask</t>
  </si>
  <si>
    <t>BreastPlate</t>
  </si>
  <si>
    <t>BodyArmorPlate</t>
  </si>
  <si>
    <t>FieldPlate</t>
  </si>
  <si>
    <t>GothicPlate</t>
  </si>
  <si>
    <t>FullPlate</t>
  </si>
  <si>
    <t>Circlet</t>
  </si>
  <si>
    <t>HeadGearPlate</t>
  </si>
  <si>
    <t>Crown</t>
  </si>
  <si>
    <t>FullHelm</t>
  </si>
  <si>
    <t>GreatHelm</t>
  </si>
  <si>
    <t>damageClassificationsCount</t>
  </si>
  <si>
    <t>damageClassifications</t>
  </si>
  <si>
    <t>Stick</t>
  </si>
  <si>
    <t>OneHandedMeleeWeapon</t>
  </si>
  <si>
    <t>OneHandedMelee</t>
  </si>
  <si>
    <t>Physical:Blunt</t>
  </si>
  <si>
    <t>Club</t>
  </si>
  <si>
    <t>Mace</t>
  </si>
  <si>
    <t>Morningstar</t>
  </si>
  <si>
    <t>WarHammer</t>
  </si>
  <si>
    <t>ButterKnife</t>
  </si>
  <si>
    <t>Physical:Slashing</t>
  </si>
  <si>
    <t>ShortSword</t>
  </si>
  <si>
    <t>Blade</t>
  </si>
  <si>
    <t>BroadSword</t>
  </si>
  <si>
    <t>BastardSword</t>
  </si>
  <si>
    <t>Physical:Slashing|Physical:Piercing</t>
  </si>
  <si>
    <t>Dagger</t>
  </si>
  <si>
    <t>Rapier</t>
  </si>
  <si>
    <t>Physical:Piercing</t>
  </si>
  <si>
    <t>ShortSpear</t>
  </si>
  <si>
    <t>RuneSword</t>
  </si>
  <si>
    <t>Physical:Slashing:Fire|Physical:Slashing:Ice|Physical:Slashing:Lightning|Physical:Slashing:Water|Physical:Slashing:Earth|Physical:Slashing:Wind</t>
  </si>
  <si>
    <t>EtherBlade</t>
  </si>
  <si>
    <t>Magical:Slashing</t>
  </si>
  <si>
    <t>IceBlade</t>
  </si>
  <si>
    <t>Physical:Slashing:Ice</t>
  </si>
  <si>
    <t>MapleWand</t>
  </si>
  <si>
    <t>Magical</t>
  </si>
  <si>
    <t>WillowWand</t>
  </si>
  <si>
    <t>YewWand</t>
  </si>
  <si>
    <t>RoseWand</t>
  </si>
  <si>
    <t>RottingBranch</t>
  </si>
  <si>
    <t>TwoHandedMeleeWeapon</t>
  </si>
  <si>
    <t>TwoHandedMelee</t>
  </si>
  <si>
    <t>BoStaff</t>
  </si>
  <si>
    <t>Spear</t>
  </si>
  <si>
    <t>Bardiche</t>
  </si>
  <si>
    <t>SplittingMaul</t>
  </si>
  <si>
    <t>Physical:Slashing|Physical:Blunt</t>
  </si>
  <si>
    <t>Maul</t>
  </si>
  <si>
    <t>BattleAxe</t>
  </si>
  <si>
    <t>Glaive</t>
  </si>
  <si>
    <t>ElementalStaff</t>
  </si>
  <si>
    <t>Physical:Blunt:Fire|Physical:Blunt:Ice|Physical:Blunt:Lightning|Physical:Blunt:Water|Physical:Blunt:Earth|Physical:Blunt:Wind</t>
  </si>
  <si>
    <t>Trident</t>
  </si>
  <si>
    <t>Magical:none:Water|Physical:Piercing</t>
  </si>
  <si>
    <t>GreatAxe</t>
  </si>
  <si>
    <t>GravityHammer</t>
  </si>
  <si>
    <t>ElmStaff</t>
  </si>
  <si>
    <t>TwoHandedMeleeCaster</t>
  </si>
  <si>
    <t>MahoganyStaff</t>
  </si>
  <si>
    <t>EbonyStaff</t>
  </si>
  <si>
    <t>ShortBow</t>
  </si>
  <si>
    <t>TwoHandedRangedWeapon</t>
  </si>
  <si>
    <t>TwoHandedRanged</t>
  </si>
  <si>
    <t>RecurveBow</t>
  </si>
  <si>
    <t>CompositeBow</t>
  </si>
  <si>
    <t>MilitaryBow</t>
  </si>
  <si>
    <t>EtherBow</t>
  </si>
  <si>
    <t>Magical:Piercing</t>
  </si>
  <si>
    <t>shieldSize</t>
  </si>
  <si>
    <t>PotLid</t>
  </si>
  <si>
    <t>Shield</t>
  </si>
  <si>
    <t>Small</t>
  </si>
  <si>
    <t>CabinetDoor</t>
  </si>
  <si>
    <t>Heater</t>
  </si>
  <si>
    <t>Medium</t>
  </si>
  <si>
    <t>Buckler</t>
  </si>
  <si>
    <t>Pavise</t>
  </si>
  <si>
    <t>Large</t>
  </si>
  <si>
    <t>Aspis</t>
  </si>
  <si>
    <t>LanternShield</t>
  </si>
  <si>
    <t>KiteShield</t>
  </si>
  <si>
    <t>TowerShield</t>
  </si>
  <si>
    <t>AncientBuckler</t>
  </si>
  <si>
    <t>GothicShield</t>
  </si>
  <si>
    <t>Ring</t>
  </si>
  <si>
    <t>Jewelry</t>
  </si>
  <si>
    <t>Amulet</t>
  </si>
  <si>
    <t>Prefix:Mp</t>
  </si>
  <si>
    <t>Prefix:FlatArmorClass</t>
  </si>
  <si>
    <t>Prefix:Accuracy</t>
  </si>
  <si>
    <t>Prefix:PercentDamage</t>
  </si>
  <si>
    <t>Prefix:LifeSteal</t>
  </si>
  <si>
    <t>Prefix:Evasion</t>
  </si>
  <si>
    <t>Prefix:ArmorPenetration</t>
  </si>
  <si>
    <t>Prefix:Agility</t>
  </si>
  <si>
    <t>Suffix:Strength</t>
  </si>
  <si>
    <t>Suffix:Spirit</t>
  </si>
  <si>
    <t>Suffix:Dexterity</t>
  </si>
  <si>
    <t>Suffix:Vitality</t>
  </si>
  <si>
    <t>Suffix:Hp</t>
  </si>
  <si>
    <t>Suffix:FlatDamage</t>
  </si>
  <si>
    <t>Suffix:Durability</t>
  </si>
  <si>
    <t>Suffix:PercentArmorClass</t>
  </si>
  <si>
    <t>affixType</t>
  </si>
  <si>
    <t>maxTier</t>
  </si>
  <si>
    <t>FlatDamage</t>
  </si>
  <si>
    <t>combatantClass</t>
  </si>
  <si>
    <t>Strength</t>
  </si>
  <si>
    <t>Dexterity</t>
  </si>
  <si>
    <t>Spirit</t>
  </si>
  <si>
    <t>Vitality</t>
  </si>
  <si>
    <t>Agility</t>
  </si>
  <si>
    <t>Speed</t>
  </si>
  <si>
    <t>ArmorClass</t>
  </si>
  <si>
    <t>ArmorPenetration</t>
  </si>
  <si>
    <t>Accuracy</t>
  </si>
  <si>
    <t>Evasion</t>
  </si>
  <si>
    <t>Hp</t>
  </si>
  <si>
    <t>Mp</t>
  </si>
  <si>
    <t>Warrior</t>
  </si>
  <si>
    <t>Rogue</t>
  </si>
  <si>
    <t>Mage</t>
  </si>
  <si>
    <t>monsterType</t>
  </si>
  <si>
    <t>Wolf</t>
  </si>
  <si>
    <t>FireMage</t>
  </si>
  <si>
    <t>Cultist</t>
  </si>
  <si>
    <t>MantaRay</t>
  </si>
  <si>
    <t>Net</t>
  </si>
  <si>
    <t>Spider</t>
  </si>
  <si>
    <t>Slime</t>
  </si>
  <si>
    <t>Zombie</t>
  </si>
  <si>
    <t>SkeletonWarrior</t>
  </si>
  <si>
    <t>SkeletonCaptain</t>
  </si>
  <si>
    <t>VampireBat</t>
  </si>
  <si>
    <t>TyrantRex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</si>
</sst>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"/>
      <family val="2"/>
      <sz val="11"/>
      <name val="Calibri"/>
    </font>
    <font>
      <charset val="1"/>
      <color rgb="FF000000"/>
      <family val="2"/>
      <sz val="11"/>
      <name val="Calibri"/>
    </font>
    <font>
      <b/>
      <charset val="1"/>
      <sz val="11"/>
      <name val="Cambria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bottom"/>
    </xf>
    <xf numFmtId="0" fontId="1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2" borderId="0" xfId="0" applyFont="1" applyFill="1" applyAlignment="1">
      <alignment horizontal="center" vertical="bottom"/>
    </xf>
    <xf numFmtId="0" fontId="2" fillId="0" borderId="0" xfId="0" applyFont="1" applyAlignment="1">
      <alignment vertical="bottom"/>
    </xf>
    <xf numFmtId="0" fontId="2" fillId="2" borderId="0" xfId="0" applyFont="1" applyFill="1" applyAlignment="1">
      <alignment vertical="bottom"/>
    </xf>
    <xf numFmtId="0" fontId="3" fillId="0" borderId="0" xfId="0" applyFont="1" applyAlignment="1">
      <alignment vertical="bottom"/>
    </xf>
    <xf numFmtId="0" fontId="2" fillId="0" borderId="0" xfId="0" applyFont="1" applyAlignment="1">
      <alignment vertical="bottom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25"/>
  <sheetViews>
    <sheetView workbookViewId="0" zoomScale="150" zoomScaleNormal="150" view="normal">
      <selection activeCell="A45" sqref="A45"/>
    </sheetView>
  </sheetViews>
  <sheetFormatPr defaultRowHeight="12.75" outlineLevelRow="0" outlineLevelCol="0" x14ac:dyDescent="0" defaultColWidth="11.53515625" customHeight="1"/>
  <cols>
    <col min="1" max="1" width="16.43" style="1" customWidth="1"/>
    <col min="2" max="2" width="8.07" style="1" customWidth="1"/>
    <col min="3" max="3" width="8.35" style="1" customWidth="1"/>
    <col min="4" max="23" width="5.19" style="1" customWidth="1"/>
  </cols>
  <sheetData>
    <row r="1" ht="13.5" customHeight="1" spans="1:23" x14ac:dyDescent="0.25">
      <c r="A1" s="1"/>
      <c r="B1" s="2" t="s">
        <v>0</v>
      </c>
      <c r="C1" s="2" t="s">
        <v>1</v>
      </c>
      <c r="D1" s="2">
        <v>1</v>
      </c>
      <c r="E1" s="2">
        <v>1</v>
      </c>
      <c r="F1" s="2">
        <v>2</v>
      </c>
      <c r="G1" s="2">
        <v>2</v>
      </c>
      <c r="H1" s="2">
        <v>3</v>
      </c>
      <c r="I1" s="2">
        <v>3</v>
      </c>
      <c r="J1" s="2">
        <v>4</v>
      </c>
      <c r="K1" s="2">
        <v>4</v>
      </c>
      <c r="L1" s="2">
        <v>5</v>
      </c>
      <c r="M1" s="2">
        <v>5</v>
      </c>
      <c r="N1" s="2">
        <v>6</v>
      </c>
      <c r="O1" s="2">
        <v>6</v>
      </c>
      <c r="P1" s="2">
        <v>7</v>
      </c>
      <c r="Q1" s="2">
        <v>7</v>
      </c>
      <c r="R1" s="2">
        <v>8</v>
      </c>
      <c r="S1" s="2">
        <v>8</v>
      </c>
      <c r="T1" s="2">
        <v>9</v>
      </c>
      <c r="U1" s="2">
        <v>9</v>
      </c>
      <c r="V1" s="2">
        <v>10</v>
      </c>
      <c r="W1" s="2">
        <v>10</v>
      </c>
    </row>
    <row r="2" ht="13.5" customHeight="1" spans="1:23" x14ac:dyDescent="0.25">
      <c r="A2" s="3" t="str">
        <f>'equipment-weapons'!A2</f>
        <v>Stick</v>
      </c>
      <c r="B2" s="3">
        <f>'equipment-weapons'!F2</f>
        <v>1</v>
      </c>
      <c r="C2" s="3">
        <f>'equipment-weapons'!G2</f>
        <v>3</v>
      </c>
      <c r="D2" s="1">
        <f>ATTACKDAMAGE(IF(ISEVEN(COLUMN()),$B2,$C2),D$1,INT(IF('equipment-weapons'!$B2="TwoHandedRangedWeapon",RogueDexPerLvl,WarriorStrPerLvl)*D$1),CombatantLevelAttributeMod)</f>
        <v>2</v>
      </c>
      <c r="E2" s="1">
        <f>ATTACKDAMAGE(IF(ISEVEN(COLUMN()),$B2,$C2),E$1,INT(IF('equipment-weapons'!$B2="TwoHandedRangedWeapon",RogueDexPerLvl,WarriorStrPerLvl)*E$1),CombatantLevelAttributeMod)</f>
        <v>4</v>
      </c>
      <c r="F2" s="1">
        <f>ATTACKDAMAGE(IF(ISEVEN(COLUMN()),$B2,$C2),F$1,INT(IF('equipment-weapons'!$B2="TwoHandedRangedWeapon",RogueDexPerLvl,WarriorStrPerLvl)*F$1),CombatantLevelAttributeMod)</f>
        <v>3</v>
      </c>
      <c r="G2" s="1">
        <f>ATTACKDAMAGE(IF(ISEVEN(COLUMN()),$B2,$C2),G$1,INT(IF('equipment-weapons'!$B2="TwoHandedRangedWeapon",RogueDexPerLvl,WarriorStrPerLvl)*G$1),CombatantLevelAttributeMod)</f>
        <v>5</v>
      </c>
      <c r="H2" s="1">
        <f>ATTACKDAMAGE(IF(ISEVEN(COLUMN()),$B2,$C2),H$1,INT(IF('equipment-weapons'!$B2="TwoHandedRangedWeapon",RogueDexPerLvl,WarriorStrPerLvl)*H$1),CombatantLevelAttributeMod)</f>
        <v>5</v>
      </c>
      <c r="I2" s="1">
        <f>ATTACKDAMAGE(IF(ISEVEN(COLUMN()),$B2,$C2),I$1,INT(IF('equipment-weapons'!$B2="TwoHandedRangedWeapon",RogueDexPerLvl,WarriorStrPerLvl)*I$1),CombatantLevelAttributeMod)</f>
        <v>7</v>
      </c>
      <c r="J2" s="1">
        <f>ATTACKDAMAGE(IF(ISEVEN(COLUMN()),$B2,$C2),J$1,INT(IF('equipment-weapons'!$B2="TwoHandedRangedWeapon",RogueDexPerLvl,WarriorStrPerLvl)*J$1),CombatantLevelAttributeMod)</f>
        <v>7</v>
      </c>
      <c r="K2" s="1">
        <f>ATTACKDAMAGE(IF(ISEVEN(COLUMN()),$B2,$C2),K$1,INT(IF('equipment-weapons'!$B2="TwoHandedRangedWeapon",RogueDexPerLvl,WarriorStrPerLvl)*K$1),CombatantLevelAttributeMod)</f>
        <v>9</v>
      </c>
      <c r="L2" s="1">
        <f>ATTACKDAMAGE(IF(ISEVEN(COLUMN()),$B2,$C2),L$1,INT(IF('equipment-weapons'!$B2="TwoHandedRangedWeapon",RogueDexPerLvl,WarriorStrPerLvl)*L$1),CombatantLevelAttributeMod)</f>
        <v>9</v>
      </c>
      <c r="M2" s="1">
        <f>ATTACKDAMAGE(IF(ISEVEN(COLUMN()),$B2,$C2),M$1,INT(IF('equipment-weapons'!$B2="TwoHandedRangedWeapon",RogueDexPerLvl,WarriorStrPerLvl)*M$1),CombatantLevelAttributeMod)</f>
        <v>11</v>
      </c>
      <c r="N2" s="1">
        <f>ATTACKDAMAGE(IF(ISEVEN(COLUMN()),$B2,$C2),N$1,INT(IF('equipment-weapons'!$B2="TwoHandedRangedWeapon",RogueDexPerLvl,WarriorStrPerLvl)*N$1),CombatantLevelAttributeMod)</f>
        <v>11</v>
      </c>
      <c r="O2" s="1">
        <f>ATTACKDAMAGE(IF(ISEVEN(COLUMN()),$B2,$C2),O$1,INT(IF('equipment-weapons'!$B2="TwoHandedRangedWeapon",RogueDexPerLvl,WarriorStrPerLvl)*O$1),CombatantLevelAttributeMod)</f>
        <v>13</v>
      </c>
      <c r="P2" s="1">
        <f>ATTACKDAMAGE(IF(ISEVEN(COLUMN()),$B2,$C2),P$1,INT(IF('equipment-weapons'!$B2="TwoHandedRangedWeapon",RogueDexPerLvl,WarriorStrPerLvl)*P$1),CombatantLevelAttributeMod)</f>
        <v>13</v>
      </c>
      <c r="Q2" s="1">
        <f>ATTACKDAMAGE(IF(ISEVEN(COLUMN()),$B2,$C2),Q$1,INT(IF('equipment-weapons'!$B2="TwoHandedRangedWeapon",RogueDexPerLvl,WarriorStrPerLvl)*Q$1),CombatantLevelAttributeMod)</f>
        <v>15</v>
      </c>
      <c r="R2" s="1">
        <f>ATTACKDAMAGE(IF(ISEVEN(COLUMN()),$B2,$C2),R$1,INT(IF('equipment-weapons'!$B2="TwoHandedRangedWeapon",RogueDexPerLvl,WarriorStrPerLvl)*R$1),CombatantLevelAttributeMod)</f>
        <v>17</v>
      </c>
      <c r="S2" s="1">
        <f>ATTACKDAMAGE(IF(ISEVEN(COLUMN()),$B2,$C2),S$1,INT(IF('equipment-weapons'!$B2="TwoHandedRangedWeapon",RogueDexPerLvl,WarriorStrPerLvl)*S$1),CombatantLevelAttributeMod)</f>
        <v>19</v>
      </c>
      <c r="T2" s="1">
        <f>ATTACKDAMAGE(IF(ISEVEN(COLUMN()),$B2,$C2),T$1,INT(IF('equipment-weapons'!$B2="TwoHandedRangedWeapon",RogueDexPerLvl,WarriorStrPerLvl)*T$1),CombatantLevelAttributeMod)</f>
        <v>19</v>
      </c>
      <c r="U2" s="1">
        <f>ATTACKDAMAGE(IF(ISEVEN(COLUMN()),$B2,$C2),U$1,INT(IF('equipment-weapons'!$B2="TwoHandedRangedWeapon",RogueDexPerLvl,WarriorStrPerLvl)*U$1),CombatantLevelAttributeMod)</f>
        <v>21</v>
      </c>
      <c r="V2" s="1">
        <f>ATTACKDAMAGE(IF(ISEVEN(COLUMN()),$B2,$C2),V$1,INT(IF('equipment-weapons'!$B2="TwoHandedRangedWeapon",RogueDexPerLvl,WarriorStrPerLvl)*V$1),CombatantLevelAttributeMod)</f>
        <v>23</v>
      </c>
      <c r="W2" s="1">
        <f>ATTACKDAMAGE(IF(ISEVEN(COLUMN()),$B2,$C2),W$1,INT(IF('equipment-weapons'!$B2="TwoHandedRangedWeapon",RogueDexPerLvl,WarriorStrPerLvl)*W$1),CombatantLevelAttributeMod)</f>
        <v>25</v>
      </c>
    </row>
    <row r="3" ht="13.5" customHeight="1" spans="1:23" x14ac:dyDescent="0.25">
      <c r="A3" s="3" t="str">
        <f>'equipment-weapons'!A3</f>
        <v>Club</v>
      </c>
      <c r="B3" s="3">
        <f>'equipment-weapons'!F3</f>
        <v>1</v>
      </c>
      <c r="C3" s="3">
        <f>'equipment-weapons'!G3</f>
        <v>4</v>
      </c>
      <c r="D3" s="1">
        <f>ATTACKDAMAGE(IF(ISEVEN(COLUMN()),$B3,$C3),D$1,INT(IF('equipment-weapons'!$B3="TwoHandedRangedWeapon",RogueDexPerLvl,WarriorStrPerLvl)*D$1),CombatantLevelAttributeMod)</f>
        <v>2</v>
      </c>
      <c r="E3" s="1">
        <f>ATTACKDAMAGE(IF(ISEVEN(COLUMN()),$B3,$C3),E$1,INT(IF('equipment-weapons'!$B3="TwoHandedRangedWeapon",RogueDexPerLvl,WarriorStrPerLvl)*E$1),CombatantLevelAttributeMod)</f>
        <v>5</v>
      </c>
      <c r="F3" s="1">
        <f>ATTACKDAMAGE(IF(ISEVEN(COLUMN()),$B3,$C3),F$1,INT(IF('equipment-weapons'!$B3="TwoHandedRangedWeapon",RogueDexPerLvl,WarriorStrPerLvl)*F$1),CombatantLevelAttributeMod)</f>
        <v>3</v>
      </c>
      <c r="G3" s="1">
        <f>ATTACKDAMAGE(IF(ISEVEN(COLUMN()),$B3,$C3),G$1,INT(IF('equipment-weapons'!$B3="TwoHandedRangedWeapon",RogueDexPerLvl,WarriorStrPerLvl)*G$1),CombatantLevelAttributeMod)</f>
        <v>6</v>
      </c>
      <c r="H3" s="1">
        <f>ATTACKDAMAGE(IF(ISEVEN(COLUMN()),$B3,$C3),H$1,INT(IF('equipment-weapons'!$B3="TwoHandedRangedWeapon",RogueDexPerLvl,WarriorStrPerLvl)*H$1),CombatantLevelAttributeMod)</f>
        <v>5</v>
      </c>
      <c r="I3" s="1">
        <f>ATTACKDAMAGE(IF(ISEVEN(COLUMN()),$B3,$C3),I$1,INT(IF('equipment-weapons'!$B3="TwoHandedRangedWeapon",RogueDexPerLvl,WarriorStrPerLvl)*I$1),CombatantLevelAttributeMod)</f>
        <v>8</v>
      </c>
      <c r="J3" s="1">
        <f>ATTACKDAMAGE(IF(ISEVEN(COLUMN()),$B3,$C3),J$1,INT(IF('equipment-weapons'!$B3="TwoHandedRangedWeapon",RogueDexPerLvl,WarriorStrPerLvl)*J$1),CombatantLevelAttributeMod)</f>
        <v>7</v>
      </c>
      <c r="K3" s="1">
        <f>ATTACKDAMAGE(IF(ISEVEN(COLUMN()),$B3,$C3),K$1,INT(IF('equipment-weapons'!$B3="TwoHandedRangedWeapon",RogueDexPerLvl,WarriorStrPerLvl)*K$1),CombatantLevelAttributeMod)</f>
        <v>10</v>
      </c>
      <c r="L3" s="1">
        <f>ATTACKDAMAGE(IF(ISEVEN(COLUMN()),$B3,$C3),L$1,INT(IF('equipment-weapons'!$B3="TwoHandedRangedWeapon",RogueDexPerLvl,WarriorStrPerLvl)*L$1),CombatantLevelAttributeMod)</f>
        <v>9</v>
      </c>
      <c r="M3" s="1">
        <f>ATTACKDAMAGE(IF(ISEVEN(COLUMN()),$B3,$C3),M$1,INT(IF('equipment-weapons'!$B3="TwoHandedRangedWeapon",RogueDexPerLvl,WarriorStrPerLvl)*M$1),CombatantLevelAttributeMod)</f>
        <v>12</v>
      </c>
      <c r="N3" s="1">
        <f>ATTACKDAMAGE(IF(ISEVEN(COLUMN()),$B3,$C3),N$1,INT(IF('equipment-weapons'!$B3="TwoHandedRangedWeapon",RogueDexPerLvl,WarriorStrPerLvl)*N$1),CombatantLevelAttributeMod)</f>
        <v>11</v>
      </c>
      <c r="O3" s="1">
        <f>ATTACKDAMAGE(IF(ISEVEN(COLUMN()),$B3,$C3),O$1,INT(IF('equipment-weapons'!$B3="TwoHandedRangedWeapon",RogueDexPerLvl,WarriorStrPerLvl)*O$1),CombatantLevelAttributeMod)</f>
        <v>14</v>
      </c>
      <c r="P3" s="1">
        <f>ATTACKDAMAGE(IF(ISEVEN(COLUMN()),$B3,$C3),P$1,INT(IF('equipment-weapons'!$B3="TwoHandedRangedWeapon",RogueDexPerLvl,WarriorStrPerLvl)*P$1),CombatantLevelAttributeMod)</f>
        <v>13</v>
      </c>
      <c r="Q3" s="1">
        <f>ATTACKDAMAGE(IF(ISEVEN(COLUMN()),$B3,$C3),Q$1,INT(IF('equipment-weapons'!$B3="TwoHandedRangedWeapon",RogueDexPerLvl,WarriorStrPerLvl)*Q$1),CombatantLevelAttributeMod)</f>
        <v>16</v>
      </c>
      <c r="R3" s="1">
        <f>ATTACKDAMAGE(IF(ISEVEN(COLUMN()),$B3,$C3),R$1,INT(IF('equipment-weapons'!$B3="TwoHandedRangedWeapon",RogueDexPerLvl,WarriorStrPerLvl)*R$1),CombatantLevelAttributeMod)</f>
        <v>17</v>
      </c>
      <c r="S3" s="1">
        <f>ATTACKDAMAGE(IF(ISEVEN(COLUMN()),$B3,$C3),S$1,INT(IF('equipment-weapons'!$B3="TwoHandedRangedWeapon",RogueDexPerLvl,WarriorStrPerLvl)*S$1),CombatantLevelAttributeMod)</f>
        <v>20</v>
      </c>
      <c r="T3" s="1">
        <f>ATTACKDAMAGE(IF(ISEVEN(COLUMN()),$B3,$C3),T$1,INT(IF('equipment-weapons'!$B3="TwoHandedRangedWeapon",RogueDexPerLvl,WarriorStrPerLvl)*T$1),CombatantLevelAttributeMod)</f>
        <v>19</v>
      </c>
      <c r="U3" s="1">
        <f>ATTACKDAMAGE(IF(ISEVEN(COLUMN()),$B3,$C3),U$1,INT(IF('equipment-weapons'!$B3="TwoHandedRangedWeapon",RogueDexPerLvl,WarriorStrPerLvl)*U$1),CombatantLevelAttributeMod)</f>
        <v>22</v>
      </c>
      <c r="V3" s="1">
        <f>ATTACKDAMAGE(IF(ISEVEN(COLUMN()),$B3,$C3),V$1,INT(IF('equipment-weapons'!$B3="TwoHandedRangedWeapon",RogueDexPerLvl,WarriorStrPerLvl)*V$1),CombatantLevelAttributeMod)</f>
        <v>23</v>
      </c>
      <c r="W3" s="1">
        <f>ATTACKDAMAGE(IF(ISEVEN(COLUMN()),$B3,$C3),W$1,INT(IF('equipment-weapons'!$B3="TwoHandedRangedWeapon",RogueDexPerLvl,WarriorStrPerLvl)*W$1),CombatantLevelAttributeMod)</f>
        <v>26</v>
      </c>
    </row>
    <row r="4" ht="13.5" customHeight="1" spans="1:23" x14ac:dyDescent="0.25">
      <c r="A4" s="3" t="str">
        <f>'equipment-weapons'!A4</f>
        <v>Mace</v>
      </c>
      <c r="B4" s="3">
        <f>'equipment-weapons'!F4</f>
        <v>1</v>
      </c>
      <c r="C4" s="3">
        <f>'equipment-weapons'!G4</f>
        <v>8</v>
      </c>
      <c r="D4" s="1">
        <f>ATTACKDAMAGE(IF(ISEVEN(COLUMN()),$B4,$C4),D$1,INT(IF('equipment-weapons'!$B4="TwoHandedRangedWeapon",RogueDexPerLvl,WarriorStrPerLvl)*D$1),CombatantLevelAttributeMod)</f>
        <v>2</v>
      </c>
      <c r="E4" s="1">
        <f>ATTACKDAMAGE(IF(ISEVEN(COLUMN()),$B4,$C4),E$1,INT(IF('equipment-weapons'!$B4="TwoHandedRangedWeapon",RogueDexPerLvl,WarriorStrPerLvl)*E$1),CombatantLevelAttributeMod)</f>
        <v>9</v>
      </c>
      <c r="F4" s="1">
        <f>ATTACKDAMAGE(IF(ISEVEN(COLUMN()),$B4,$C4),F$1,INT(IF('equipment-weapons'!$B4="TwoHandedRangedWeapon",RogueDexPerLvl,WarriorStrPerLvl)*F$1),CombatantLevelAttributeMod)</f>
        <v>3</v>
      </c>
      <c r="G4" s="1">
        <f>ATTACKDAMAGE(IF(ISEVEN(COLUMN()),$B4,$C4),G$1,INT(IF('equipment-weapons'!$B4="TwoHandedRangedWeapon",RogueDexPerLvl,WarriorStrPerLvl)*G$1),CombatantLevelAttributeMod)</f>
        <v>10</v>
      </c>
      <c r="H4" s="1">
        <f>ATTACKDAMAGE(IF(ISEVEN(COLUMN()),$B4,$C4),H$1,INT(IF('equipment-weapons'!$B4="TwoHandedRangedWeapon",RogueDexPerLvl,WarriorStrPerLvl)*H$1),CombatantLevelAttributeMod)</f>
        <v>5</v>
      </c>
      <c r="I4" s="1">
        <f>ATTACKDAMAGE(IF(ISEVEN(COLUMN()),$B4,$C4),I$1,INT(IF('equipment-weapons'!$B4="TwoHandedRangedWeapon",RogueDexPerLvl,WarriorStrPerLvl)*I$1),CombatantLevelAttributeMod)</f>
        <v>12</v>
      </c>
      <c r="J4" s="1">
        <f>ATTACKDAMAGE(IF(ISEVEN(COLUMN()),$B4,$C4),J$1,INT(IF('equipment-weapons'!$B4="TwoHandedRangedWeapon",RogueDexPerLvl,WarriorStrPerLvl)*J$1),CombatantLevelAttributeMod)</f>
        <v>7</v>
      </c>
      <c r="K4" s="1">
        <f>ATTACKDAMAGE(IF(ISEVEN(COLUMN()),$B4,$C4),K$1,INT(IF('equipment-weapons'!$B4="TwoHandedRangedWeapon",RogueDexPerLvl,WarriorStrPerLvl)*K$1),CombatantLevelAttributeMod)</f>
        <v>14</v>
      </c>
      <c r="L4" s="1">
        <f>ATTACKDAMAGE(IF(ISEVEN(COLUMN()),$B4,$C4),L$1,INT(IF('equipment-weapons'!$B4="TwoHandedRangedWeapon",RogueDexPerLvl,WarriorStrPerLvl)*L$1),CombatantLevelAttributeMod)</f>
        <v>9</v>
      </c>
      <c r="M4" s="1">
        <f>ATTACKDAMAGE(IF(ISEVEN(COLUMN()),$B4,$C4),M$1,INT(IF('equipment-weapons'!$B4="TwoHandedRangedWeapon",RogueDexPerLvl,WarriorStrPerLvl)*M$1),CombatantLevelAttributeMod)</f>
        <v>16</v>
      </c>
      <c r="N4" s="1">
        <f>ATTACKDAMAGE(IF(ISEVEN(COLUMN()),$B4,$C4),N$1,INT(IF('equipment-weapons'!$B4="TwoHandedRangedWeapon",RogueDexPerLvl,WarriorStrPerLvl)*N$1),CombatantLevelAttributeMod)</f>
        <v>11</v>
      </c>
      <c r="O4" s="1">
        <f>ATTACKDAMAGE(IF(ISEVEN(COLUMN()),$B4,$C4),O$1,INT(IF('equipment-weapons'!$B4="TwoHandedRangedWeapon",RogueDexPerLvl,WarriorStrPerLvl)*O$1),CombatantLevelAttributeMod)</f>
        <v>18</v>
      </c>
      <c r="P4" s="1">
        <f>ATTACKDAMAGE(IF(ISEVEN(COLUMN()),$B4,$C4),P$1,INT(IF('equipment-weapons'!$B4="TwoHandedRangedWeapon",RogueDexPerLvl,WarriorStrPerLvl)*P$1),CombatantLevelAttributeMod)</f>
        <v>13</v>
      </c>
      <c r="Q4" s="1">
        <f>ATTACKDAMAGE(IF(ISEVEN(COLUMN()),$B4,$C4),Q$1,INT(IF('equipment-weapons'!$B4="TwoHandedRangedWeapon",RogueDexPerLvl,WarriorStrPerLvl)*Q$1),CombatantLevelAttributeMod)</f>
        <v>20</v>
      </c>
      <c r="R4" s="1">
        <f>ATTACKDAMAGE(IF(ISEVEN(COLUMN()),$B4,$C4),R$1,INT(IF('equipment-weapons'!$B4="TwoHandedRangedWeapon",RogueDexPerLvl,WarriorStrPerLvl)*R$1),CombatantLevelAttributeMod)</f>
        <v>17</v>
      </c>
      <c r="S4" s="1">
        <f>ATTACKDAMAGE(IF(ISEVEN(COLUMN()),$B4,$C4),S$1,INT(IF('equipment-weapons'!$B4="TwoHandedRangedWeapon",RogueDexPerLvl,WarriorStrPerLvl)*S$1),CombatantLevelAttributeMod)</f>
        <v>24</v>
      </c>
      <c r="T4" s="1">
        <f>ATTACKDAMAGE(IF(ISEVEN(COLUMN()),$B4,$C4),T$1,INT(IF('equipment-weapons'!$B4="TwoHandedRangedWeapon",RogueDexPerLvl,WarriorStrPerLvl)*T$1),CombatantLevelAttributeMod)</f>
        <v>19</v>
      </c>
      <c r="U4" s="1">
        <f>ATTACKDAMAGE(IF(ISEVEN(COLUMN()),$B4,$C4),U$1,INT(IF('equipment-weapons'!$B4="TwoHandedRangedWeapon",RogueDexPerLvl,WarriorStrPerLvl)*U$1),CombatantLevelAttributeMod)</f>
        <v>26</v>
      </c>
      <c r="V4" s="1">
        <f>ATTACKDAMAGE(IF(ISEVEN(COLUMN()),$B4,$C4),V$1,INT(IF('equipment-weapons'!$B4="TwoHandedRangedWeapon",RogueDexPerLvl,WarriorStrPerLvl)*V$1),CombatantLevelAttributeMod)</f>
        <v>23</v>
      </c>
      <c r="W4" s="1">
        <f>ATTACKDAMAGE(IF(ISEVEN(COLUMN()),$B4,$C4),W$1,INT(IF('equipment-weapons'!$B4="TwoHandedRangedWeapon",RogueDexPerLvl,WarriorStrPerLvl)*W$1),CombatantLevelAttributeMod)</f>
        <v>30</v>
      </c>
    </row>
    <row r="5" ht="13.5" customHeight="1" spans="1:23" x14ac:dyDescent="0.25">
      <c r="A5" s="3" t="str">
        <f>'equipment-weapons'!A5</f>
        <v>Morningstar</v>
      </c>
      <c r="B5" s="3">
        <f>'equipment-weapons'!F5</f>
        <v>2</v>
      </c>
      <c r="C5" s="3">
        <f>'equipment-weapons'!G5</f>
        <v>12</v>
      </c>
      <c r="D5" s="1">
        <f>ATTACKDAMAGE(IF(ISEVEN(COLUMN()),$B5,$C5),D$1,INT(IF('equipment-weapons'!$B5="TwoHandedRangedWeapon",RogueDexPerLvl,WarriorStrPerLvl)*D$1),CombatantLevelAttributeMod)</f>
        <v>3</v>
      </c>
      <c r="E5" s="1">
        <f>ATTACKDAMAGE(IF(ISEVEN(COLUMN()),$B5,$C5),E$1,INT(IF('equipment-weapons'!$B5="TwoHandedRangedWeapon",RogueDexPerLvl,WarriorStrPerLvl)*E$1),CombatantLevelAttributeMod)</f>
        <v>13</v>
      </c>
      <c r="F5" s="1">
        <f>ATTACKDAMAGE(IF(ISEVEN(COLUMN()),$B5,$C5),F$1,INT(IF('equipment-weapons'!$B5="TwoHandedRangedWeapon",RogueDexPerLvl,WarriorStrPerLvl)*F$1),CombatantLevelAttributeMod)</f>
        <v>4</v>
      </c>
      <c r="G5" s="1">
        <f>ATTACKDAMAGE(IF(ISEVEN(COLUMN()),$B5,$C5),G$1,INT(IF('equipment-weapons'!$B5="TwoHandedRangedWeapon",RogueDexPerLvl,WarriorStrPerLvl)*G$1),CombatantLevelAttributeMod)</f>
        <v>14</v>
      </c>
      <c r="H5" s="1">
        <f>ATTACKDAMAGE(IF(ISEVEN(COLUMN()),$B5,$C5),H$1,INT(IF('equipment-weapons'!$B5="TwoHandedRangedWeapon",RogueDexPerLvl,WarriorStrPerLvl)*H$1),CombatantLevelAttributeMod)</f>
        <v>6</v>
      </c>
      <c r="I5" s="1">
        <f>ATTACKDAMAGE(IF(ISEVEN(COLUMN()),$B5,$C5),I$1,INT(IF('equipment-weapons'!$B5="TwoHandedRangedWeapon",RogueDexPerLvl,WarriorStrPerLvl)*I$1),CombatantLevelAttributeMod)</f>
        <v>16</v>
      </c>
      <c r="J5" s="1">
        <f>ATTACKDAMAGE(IF(ISEVEN(COLUMN()),$B5,$C5),J$1,INT(IF('equipment-weapons'!$B5="TwoHandedRangedWeapon",RogueDexPerLvl,WarriorStrPerLvl)*J$1),CombatantLevelAttributeMod)</f>
        <v>8</v>
      </c>
      <c r="K5" s="1">
        <f>ATTACKDAMAGE(IF(ISEVEN(COLUMN()),$B5,$C5),K$1,INT(IF('equipment-weapons'!$B5="TwoHandedRangedWeapon",RogueDexPerLvl,WarriorStrPerLvl)*K$1),CombatantLevelAttributeMod)</f>
        <v>18</v>
      </c>
      <c r="L5" s="1">
        <f>ATTACKDAMAGE(IF(ISEVEN(COLUMN()),$B5,$C5),L$1,INT(IF('equipment-weapons'!$B5="TwoHandedRangedWeapon",RogueDexPerLvl,WarriorStrPerLvl)*L$1),CombatantLevelAttributeMod)</f>
        <v>10</v>
      </c>
      <c r="M5" s="1">
        <f>ATTACKDAMAGE(IF(ISEVEN(COLUMN()),$B5,$C5),M$1,INT(IF('equipment-weapons'!$B5="TwoHandedRangedWeapon",RogueDexPerLvl,WarriorStrPerLvl)*M$1),CombatantLevelAttributeMod)</f>
        <v>20</v>
      </c>
      <c r="N5" s="1">
        <f>ATTACKDAMAGE(IF(ISEVEN(COLUMN()),$B5,$C5),N$1,INT(IF('equipment-weapons'!$B5="TwoHandedRangedWeapon",RogueDexPerLvl,WarriorStrPerLvl)*N$1),CombatantLevelAttributeMod)</f>
        <v>12</v>
      </c>
      <c r="O5" s="1">
        <f>ATTACKDAMAGE(IF(ISEVEN(COLUMN()),$B5,$C5),O$1,INT(IF('equipment-weapons'!$B5="TwoHandedRangedWeapon",RogueDexPerLvl,WarriorStrPerLvl)*O$1),CombatantLevelAttributeMod)</f>
        <v>22</v>
      </c>
      <c r="P5" s="1">
        <f>ATTACKDAMAGE(IF(ISEVEN(COLUMN()),$B5,$C5),P$1,INT(IF('equipment-weapons'!$B5="TwoHandedRangedWeapon",RogueDexPerLvl,WarriorStrPerLvl)*P$1),CombatantLevelAttributeMod)</f>
        <v>14</v>
      </c>
      <c r="Q5" s="1">
        <f>ATTACKDAMAGE(IF(ISEVEN(COLUMN()),$B5,$C5),Q$1,INT(IF('equipment-weapons'!$B5="TwoHandedRangedWeapon",RogueDexPerLvl,WarriorStrPerLvl)*Q$1),CombatantLevelAttributeMod)</f>
        <v>24</v>
      </c>
      <c r="R5" s="1">
        <f>ATTACKDAMAGE(IF(ISEVEN(COLUMN()),$B5,$C5),R$1,INT(IF('equipment-weapons'!$B5="TwoHandedRangedWeapon",RogueDexPerLvl,WarriorStrPerLvl)*R$1),CombatantLevelAttributeMod)</f>
        <v>18</v>
      </c>
      <c r="S5" s="1">
        <f>ATTACKDAMAGE(IF(ISEVEN(COLUMN()),$B5,$C5),S$1,INT(IF('equipment-weapons'!$B5="TwoHandedRangedWeapon",RogueDexPerLvl,WarriorStrPerLvl)*S$1),CombatantLevelAttributeMod)</f>
        <v>28</v>
      </c>
      <c r="T5" s="1">
        <f>ATTACKDAMAGE(IF(ISEVEN(COLUMN()),$B5,$C5),T$1,INT(IF('equipment-weapons'!$B5="TwoHandedRangedWeapon",RogueDexPerLvl,WarriorStrPerLvl)*T$1),CombatantLevelAttributeMod)</f>
        <v>20</v>
      </c>
      <c r="U5" s="1">
        <f>ATTACKDAMAGE(IF(ISEVEN(COLUMN()),$B5,$C5),U$1,INT(IF('equipment-weapons'!$B5="TwoHandedRangedWeapon",RogueDexPerLvl,WarriorStrPerLvl)*U$1),CombatantLevelAttributeMod)</f>
        <v>30</v>
      </c>
      <c r="V5" s="1">
        <f>ATTACKDAMAGE(IF(ISEVEN(COLUMN()),$B5,$C5),V$1,INT(IF('equipment-weapons'!$B5="TwoHandedRangedWeapon",RogueDexPerLvl,WarriorStrPerLvl)*V$1),CombatantLevelAttributeMod)</f>
        <v>24</v>
      </c>
      <c r="W5" s="1">
        <f>ATTACKDAMAGE(IF(ISEVEN(COLUMN()),$B5,$C5),W$1,INT(IF('equipment-weapons'!$B5="TwoHandedRangedWeapon",RogueDexPerLvl,WarriorStrPerLvl)*W$1),CombatantLevelAttributeMod)</f>
        <v>34</v>
      </c>
    </row>
    <row r="6" ht="13.5" customHeight="1" spans="1:23" x14ac:dyDescent="0.25">
      <c r="A6" s="3" t="str">
        <f>'equipment-weapons'!A6</f>
        <v>WarHammer</v>
      </c>
      <c r="B6" s="3">
        <f>'equipment-weapons'!F6</f>
        <v>4</v>
      </c>
      <c r="C6" s="3">
        <f>'equipment-weapons'!G6</f>
        <v>16</v>
      </c>
      <c r="D6" s="1">
        <f>ATTACKDAMAGE(IF(ISEVEN(COLUMN()),$B6,$C6),D$1,INT(IF('equipment-weapons'!$B6="TwoHandedRangedWeapon",RogueDexPerLvl,WarriorStrPerLvl)*D$1),CombatantLevelAttributeMod)</f>
        <v>5</v>
      </c>
      <c r="E6" s="1">
        <f>ATTACKDAMAGE(IF(ISEVEN(COLUMN()),$B6,$C6),E$1,INT(IF('equipment-weapons'!$B6="TwoHandedRangedWeapon",RogueDexPerLvl,WarriorStrPerLvl)*E$1),CombatantLevelAttributeMod)</f>
        <v>17</v>
      </c>
      <c r="F6" s="1">
        <f>ATTACKDAMAGE(IF(ISEVEN(COLUMN()),$B6,$C6),F$1,INT(IF('equipment-weapons'!$B6="TwoHandedRangedWeapon",RogueDexPerLvl,WarriorStrPerLvl)*F$1),CombatantLevelAttributeMod)</f>
        <v>6</v>
      </c>
      <c r="G6" s="1">
        <f>ATTACKDAMAGE(IF(ISEVEN(COLUMN()),$B6,$C6),G$1,INT(IF('equipment-weapons'!$B6="TwoHandedRangedWeapon",RogueDexPerLvl,WarriorStrPerLvl)*G$1),CombatantLevelAttributeMod)</f>
        <v>18</v>
      </c>
      <c r="H6" s="1">
        <f>ATTACKDAMAGE(IF(ISEVEN(COLUMN()),$B6,$C6),H$1,INT(IF('equipment-weapons'!$B6="TwoHandedRangedWeapon",RogueDexPerLvl,WarriorStrPerLvl)*H$1),CombatantLevelAttributeMod)</f>
        <v>8</v>
      </c>
      <c r="I6" s="1">
        <f>ATTACKDAMAGE(IF(ISEVEN(COLUMN()),$B6,$C6),I$1,INT(IF('equipment-weapons'!$B6="TwoHandedRangedWeapon",RogueDexPerLvl,WarriorStrPerLvl)*I$1),CombatantLevelAttributeMod)</f>
        <v>20</v>
      </c>
      <c r="J6" s="1">
        <f>ATTACKDAMAGE(IF(ISEVEN(COLUMN()),$B6,$C6),J$1,INT(IF('equipment-weapons'!$B6="TwoHandedRangedWeapon",RogueDexPerLvl,WarriorStrPerLvl)*J$1),CombatantLevelAttributeMod)</f>
        <v>10</v>
      </c>
      <c r="K6" s="1">
        <f>ATTACKDAMAGE(IF(ISEVEN(COLUMN()),$B6,$C6),K$1,INT(IF('equipment-weapons'!$B6="TwoHandedRangedWeapon",RogueDexPerLvl,WarriorStrPerLvl)*K$1),CombatantLevelAttributeMod)</f>
        <v>22</v>
      </c>
      <c r="L6" s="1">
        <f>ATTACKDAMAGE(IF(ISEVEN(COLUMN()),$B6,$C6),L$1,INT(IF('equipment-weapons'!$B6="TwoHandedRangedWeapon",RogueDexPerLvl,WarriorStrPerLvl)*L$1),CombatantLevelAttributeMod)</f>
        <v>12</v>
      </c>
      <c r="M6" s="1">
        <f>ATTACKDAMAGE(IF(ISEVEN(COLUMN()),$B6,$C6),M$1,INT(IF('equipment-weapons'!$B6="TwoHandedRangedWeapon",RogueDexPerLvl,WarriorStrPerLvl)*M$1),CombatantLevelAttributeMod)</f>
        <v>24</v>
      </c>
      <c r="N6" s="1">
        <f>ATTACKDAMAGE(IF(ISEVEN(COLUMN()),$B6,$C6),N$1,INT(IF('equipment-weapons'!$B6="TwoHandedRangedWeapon",RogueDexPerLvl,WarriorStrPerLvl)*N$1),CombatantLevelAttributeMod)</f>
        <v>14</v>
      </c>
      <c r="O6" s="1">
        <f>ATTACKDAMAGE(IF(ISEVEN(COLUMN()),$B6,$C6),O$1,INT(IF('equipment-weapons'!$B6="TwoHandedRangedWeapon",RogueDexPerLvl,WarriorStrPerLvl)*O$1),CombatantLevelAttributeMod)</f>
        <v>26</v>
      </c>
      <c r="P6" s="1">
        <f>ATTACKDAMAGE(IF(ISEVEN(COLUMN()),$B6,$C6),P$1,INT(IF('equipment-weapons'!$B6="TwoHandedRangedWeapon",RogueDexPerLvl,WarriorStrPerLvl)*P$1),CombatantLevelAttributeMod)</f>
        <v>16</v>
      </c>
      <c r="Q6" s="1">
        <f>ATTACKDAMAGE(IF(ISEVEN(COLUMN()),$B6,$C6),Q$1,INT(IF('equipment-weapons'!$B6="TwoHandedRangedWeapon",RogueDexPerLvl,WarriorStrPerLvl)*Q$1),CombatantLevelAttributeMod)</f>
        <v>28</v>
      </c>
      <c r="R6" s="1">
        <f>ATTACKDAMAGE(IF(ISEVEN(COLUMN()),$B6,$C6),R$1,INT(IF('equipment-weapons'!$B6="TwoHandedRangedWeapon",RogueDexPerLvl,WarriorStrPerLvl)*R$1),CombatantLevelAttributeMod)</f>
        <v>20</v>
      </c>
      <c r="S6" s="1">
        <f>ATTACKDAMAGE(IF(ISEVEN(COLUMN()),$B6,$C6),S$1,INT(IF('equipment-weapons'!$B6="TwoHandedRangedWeapon",RogueDexPerLvl,WarriorStrPerLvl)*S$1),CombatantLevelAttributeMod)</f>
        <v>32</v>
      </c>
      <c r="T6" s="1">
        <f>ATTACKDAMAGE(IF(ISEVEN(COLUMN()),$B6,$C6),T$1,INT(IF('equipment-weapons'!$B6="TwoHandedRangedWeapon",RogueDexPerLvl,WarriorStrPerLvl)*T$1),CombatantLevelAttributeMod)</f>
        <v>22</v>
      </c>
      <c r="U6" s="1">
        <f>ATTACKDAMAGE(IF(ISEVEN(COLUMN()),$B6,$C6),U$1,INT(IF('equipment-weapons'!$B6="TwoHandedRangedWeapon",RogueDexPerLvl,WarriorStrPerLvl)*U$1),CombatantLevelAttributeMod)</f>
        <v>34</v>
      </c>
      <c r="V6" s="1">
        <f>ATTACKDAMAGE(IF(ISEVEN(COLUMN()),$B6,$C6),V$1,INT(IF('equipment-weapons'!$B6="TwoHandedRangedWeapon",RogueDexPerLvl,WarriorStrPerLvl)*V$1),CombatantLevelAttributeMod)</f>
        <v>26</v>
      </c>
      <c r="W6" s="1">
        <f>ATTACKDAMAGE(IF(ISEVEN(COLUMN()),$B6,$C6),W$1,INT(IF('equipment-weapons'!$B6="TwoHandedRangedWeapon",RogueDexPerLvl,WarriorStrPerLvl)*W$1),CombatantLevelAttributeMod)</f>
        <v>38</v>
      </c>
    </row>
    <row r="7" ht="13.5" customHeight="1" spans="1:23" x14ac:dyDescent="0.25">
      <c r="A7" s="3" t="str">
        <f>'equipment-weapons'!A7</f>
        <v>ButterKnife</v>
      </c>
      <c r="B7" s="3">
        <f>'equipment-weapons'!F7</f>
        <v>1</v>
      </c>
      <c r="C7" s="3">
        <f>'equipment-weapons'!G7</f>
        <v>2</v>
      </c>
      <c r="D7" s="1">
        <f>ATTACKDAMAGE(IF(ISEVEN(COLUMN()),$B7,$C7),D$1,INT(IF('equipment-weapons'!$B7="TwoHandedRangedWeapon",RogueDexPerLvl,WarriorStrPerLvl)*D$1),CombatantLevelAttributeMod)</f>
        <v>2</v>
      </c>
      <c r="E7" s="1">
        <f>ATTACKDAMAGE(IF(ISEVEN(COLUMN()),$B7,$C7),E$1,INT(IF('equipment-weapons'!$B7="TwoHandedRangedWeapon",RogueDexPerLvl,WarriorStrPerLvl)*E$1),CombatantLevelAttributeMod)</f>
        <v>3</v>
      </c>
      <c r="F7" s="1">
        <f>ATTACKDAMAGE(IF(ISEVEN(COLUMN()),$B7,$C7),F$1,INT(IF('equipment-weapons'!$B7="TwoHandedRangedWeapon",RogueDexPerLvl,WarriorStrPerLvl)*F$1),CombatantLevelAttributeMod)</f>
        <v>3</v>
      </c>
      <c r="G7" s="1">
        <f>ATTACKDAMAGE(IF(ISEVEN(COLUMN()),$B7,$C7),G$1,INT(IF('equipment-weapons'!$B7="TwoHandedRangedWeapon",RogueDexPerLvl,WarriorStrPerLvl)*G$1),CombatantLevelAttributeMod)</f>
        <v>4</v>
      </c>
      <c r="H7" s="1">
        <f>ATTACKDAMAGE(IF(ISEVEN(COLUMN()),$B7,$C7),H$1,INT(IF('equipment-weapons'!$B7="TwoHandedRangedWeapon",RogueDexPerLvl,WarriorStrPerLvl)*H$1),CombatantLevelAttributeMod)</f>
        <v>5</v>
      </c>
      <c r="I7" s="1">
        <f>ATTACKDAMAGE(IF(ISEVEN(COLUMN()),$B7,$C7),I$1,INT(IF('equipment-weapons'!$B7="TwoHandedRangedWeapon",RogueDexPerLvl,WarriorStrPerLvl)*I$1),CombatantLevelAttributeMod)</f>
        <v>6</v>
      </c>
      <c r="J7" s="1">
        <f>ATTACKDAMAGE(IF(ISEVEN(COLUMN()),$B7,$C7),J$1,INT(IF('equipment-weapons'!$B7="TwoHandedRangedWeapon",RogueDexPerLvl,WarriorStrPerLvl)*J$1),CombatantLevelAttributeMod)</f>
        <v>7</v>
      </c>
      <c r="K7" s="1">
        <f>ATTACKDAMAGE(IF(ISEVEN(COLUMN()),$B7,$C7),K$1,INT(IF('equipment-weapons'!$B7="TwoHandedRangedWeapon",RogueDexPerLvl,WarriorStrPerLvl)*K$1),CombatantLevelAttributeMod)</f>
        <v>8</v>
      </c>
      <c r="L7" s="1">
        <f>ATTACKDAMAGE(IF(ISEVEN(COLUMN()),$B7,$C7),L$1,INT(IF('equipment-weapons'!$B7="TwoHandedRangedWeapon",RogueDexPerLvl,WarriorStrPerLvl)*L$1),CombatantLevelAttributeMod)</f>
        <v>9</v>
      </c>
      <c r="M7" s="1">
        <f>ATTACKDAMAGE(IF(ISEVEN(COLUMN()),$B7,$C7),M$1,INT(IF('equipment-weapons'!$B7="TwoHandedRangedWeapon",RogueDexPerLvl,WarriorStrPerLvl)*M$1),CombatantLevelAttributeMod)</f>
        <v>10</v>
      </c>
      <c r="N7" s="1">
        <f>ATTACKDAMAGE(IF(ISEVEN(COLUMN()),$B7,$C7),N$1,INT(IF('equipment-weapons'!$B7="TwoHandedRangedWeapon",RogueDexPerLvl,WarriorStrPerLvl)*N$1),CombatantLevelAttributeMod)</f>
        <v>11</v>
      </c>
      <c r="O7" s="1">
        <f>ATTACKDAMAGE(IF(ISEVEN(COLUMN()),$B7,$C7),O$1,INT(IF('equipment-weapons'!$B7="TwoHandedRangedWeapon",RogueDexPerLvl,WarriorStrPerLvl)*O$1),CombatantLevelAttributeMod)</f>
        <v>12</v>
      </c>
      <c r="P7" s="1">
        <f>ATTACKDAMAGE(IF(ISEVEN(COLUMN()),$B7,$C7),P$1,INT(IF('equipment-weapons'!$B7="TwoHandedRangedWeapon",RogueDexPerLvl,WarriorStrPerLvl)*P$1),CombatantLevelAttributeMod)</f>
        <v>13</v>
      </c>
      <c r="Q7" s="1">
        <f>ATTACKDAMAGE(IF(ISEVEN(COLUMN()),$B7,$C7),Q$1,INT(IF('equipment-weapons'!$B7="TwoHandedRangedWeapon",RogueDexPerLvl,WarriorStrPerLvl)*Q$1),CombatantLevelAttributeMod)</f>
        <v>14</v>
      </c>
      <c r="R7" s="1">
        <f>ATTACKDAMAGE(IF(ISEVEN(COLUMN()),$B7,$C7),R$1,INT(IF('equipment-weapons'!$B7="TwoHandedRangedWeapon",RogueDexPerLvl,WarriorStrPerLvl)*R$1),CombatantLevelAttributeMod)</f>
        <v>17</v>
      </c>
      <c r="S7" s="1">
        <f>ATTACKDAMAGE(IF(ISEVEN(COLUMN()),$B7,$C7),S$1,INT(IF('equipment-weapons'!$B7="TwoHandedRangedWeapon",RogueDexPerLvl,WarriorStrPerLvl)*S$1),CombatantLevelAttributeMod)</f>
        <v>18</v>
      </c>
      <c r="T7" s="1">
        <f>ATTACKDAMAGE(IF(ISEVEN(COLUMN()),$B7,$C7),T$1,INT(IF('equipment-weapons'!$B7="TwoHandedRangedWeapon",RogueDexPerLvl,WarriorStrPerLvl)*T$1),CombatantLevelAttributeMod)</f>
        <v>19</v>
      </c>
      <c r="U7" s="1">
        <f>ATTACKDAMAGE(IF(ISEVEN(COLUMN()),$B7,$C7),U$1,INT(IF('equipment-weapons'!$B7="TwoHandedRangedWeapon",RogueDexPerLvl,WarriorStrPerLvl)*U$1),CombatantLevelAttributeMod)</f>
        <v>20</v>
      </c>
      <c r="V7" s="1">
        <f>ATTACKDAMAGE(IF(ISEVEN(COLUMN()),$B7,$C7),V$1,INT(IF('equipment-weapons'!$B7="TwoHandedRangedWeapon",RogueDexPerLvl,WarriorStrPerLvl)*V$1),CombatantLevelAttributeMod)</f>
        <v>23</v>
      </c>
      <c r="W7" s="1">
        <f>ATTACKDAMAGE(IF(ISEVEN(COLUMN()),$B7,$C7),W$1,INT(IF('equipment-weapons'!$B7="TwoHandedRangedWeapon",RogueDexPerLvl,WarriorStrPerLvl)*W$1),CombatantLevelAttributeMod)</f>
        <v>24</v>
      </c>
    </row>
    <row r="8" ht="13.5" customHeight="1" spans="1:23" x14ac:dyDescent="0.25">
      <c r="A8" s="3" t="str">
        <f>'equipment-weapons'!A8</f>
        <v>ShortSword</v>
      </c>
      <c r="B8" s="3">
        <f>'equipment-weapons'!F8</f>
        <v>2</v>
      </c>
      <c r="C8" s="3">
        <f>'equipment-weapons'!G8</f>
        <v>6</v>
      </c>
      <c r="D8" s="1">
        <f>ATTACKDAMAGE(IF(ISEVEN(COLUMN()),$B8,$C8),D$1,INT(IF('equipment-weapons'!$B8="TwoHandedRangedWeapon",RogueDexPerLvl,WarriorStrPerLvl)*D$1),CombatantLevelAttributeMod)</f>
        <v>3</v>
      </c>
      <c r="E8" s="1">
        <f>ATTACKDAMAGE(IF(ISEVEN(COLUMN()),$B8,$C8),E$1,INT(IF('equipment-weapons'!$B8="TwoHandedRangedWeapon",RogueDexPerLvl,WarriorStrPerLvl)*E$1),CombatantLevelAttributeMod)</f>
        <v>7</v>
      </c>
      <c r="F8" s="1">
        <f>ATTACKDAMAGE(IF(ISEVEN(COLUMN()),$B8,$C8),F$1,INT(IF('equipment-weapons'!$B8="TwoHandedRangedWeapon",RogueDexPerLvl,WarriorStrPerLvl)*F$1),CombatantLevelAttributeMod)</f>
        <v>4</v>
      </c>
      <c r="G8" s="1">
        <f>ATTACKDAMAGE(IF(ISEVEN(COLUMN()),$B8,$C8),G$1,INT(IF('equipment-weapons'!$B8="TwoHandedRangedWeapon",RogueDexPerLvl,WarriorStrPerLvl)*G$1),CombatantLevelAttributeMod)</f>
        <v>8</v>
      </c>
      <c r="H8" s="1">
        <f>ATTACKDAMAGE(IF(ISEVEN(COLUMN()),$B8,$C8),H$1,INT(IF('equipment-weapons'!$B8="TwoHandedRangedWeapon",RogueDexPerLvl,WarriorStrPerLvl)*H$1),CombatantLevelAttributeMod)</f>
        <v>6</v>
      </c>
      <c r="I8" s="1">
        <f>ATTACKDAMAGE(IF(ISEVEN(COLUMN()),$B8,$C8),I$1,INT(IF('equipment-weapons'!$B8="TwoHandedRangedWeapon",RogueDexPerLvl,WarriorStrPerLvl)*I$1),CombatantLevelAttributeMod)</f>
        <v>10</v>
      </c>
      <c r="J8" s="1">
        <f>ATTACKDAMAGE(IF(ISEVEN(COLUMN()),$B8,$C8),J$1,INT(IF('equipment-weapons'!$B8="TwoHandedRangedWeapon",RogueDexPerLvl,WarriorStrPerLvl)*J$1),CombatantLevelAttributeMod)</f>
        <v>8</v>
      </c>
      <c r="K8" s="1">
        <f>ATTACKDAMAGE(IF(ISEVEN(COLUMN()),$B8,$C8),K$1,INT(IF('equipment-weapons'!$B8="TwoHandedRangedWeapon",RogueDexPerLvl,WarriorStrPerLvl)*K$1),CombatantLevelAttributeMod)</f>
        <v>12</v>
      </c>
      <c r="L8" s="1">
        <f>ATTACKDAMAGE(IF(ISEVEN(COLUMN()),$B8,$C8),L$1,INT(IF('equipment-weapons'!$B8="TwoHandedRangedWeapon",RogueDexPerLvl,WarriorStrPerLvl)*L$1),CombatantLevelAttributeMod)</f>
        <v>10</v>
      </c>
      <c r="M8" s="1">
        <f>ATTACKDAMAGE(IF(ISEVEN(COLUMN()),$B8,$C8),M$1,INT(IF('equipment-weapons'!$B8="TwoHandedRangedWeapon",RogueDexPerLvl,WarriorStrPerLvl)*M$1),CombatantLevelAttributeMod)</f>
        <v>14</v>
      </c>
      <c r="N8" s="1">
        <f>ATTACKDAMAGE(IF(ISEVEN(COLUMN()),$B8,$C8),N$1,INT(IF('equipment-weapons'!$B8="TwoHandedRangedWeapon",RogueDexPerLvl,WarriorStrPerLvl)*N$1),CombatantLevelAttributeMod)</f>
        <v>12</v>
      </c>
      <c r="O8" s="1">
        <f>ATTACKDAMAGE(IF(ISEVEN(COLUMN()),$B8,$C8),O$1,INT(IF('equipment-weapons'!$B8="TwoHandedRangedWeapon",RogueDexPerLvl,WarriorStrPerLvl)*O$1),CombatantLevelAttributeMod)</f>
        <v>16</v>
      </c>
      <c r="P8" s="1">
        <f>ATTACKDAMAGE(IF(ISEVEN(COLUMN()),$B8,$C8),P$1,INT(IF('equipment-weapons'!$B8="TwoHandedRangedWeapon",RogueDexPerLvl,WarriorStrPerLvl)*P$1),CombatantLevelAttributeMod)</f>
        <v>14</v>
      </c>
      <c r="Q8" s="1">
        <f>ATTACKDAMAGE(IF(ISEVEN(COLUMN()),$B8,$C8),Q$1,INT(IF('equipment-weapons'!$B8="TwoHandedRangedWeapon",RogueDexPerLvl,WarriorStrPerLvl)*Q$1),CombatantLevelAttributeMod)</f>
        <v>18</v>
      </c>
      <c r="R8" s="1">
        <f>ATTACKDAMAGE(IF(ISEVEN(COLUMN()),$B8,$C8),R$1,INT(IF('equipment-weapons'!$B8="TwoHandedRangedWeapon",RogueDexPerLvl,WarriorStrPerLvl)*R$1),CombatantLevelAttributeMod)</f>
        <v>18</v>
      </c>
      <c r="S8" s="1">
        <f>ATTACKDAMAGE(IF(ISEVEN(COLUMN()),$B8,$C8),S$1,INT(IF('equipment-weapons'!$B8="TwoHandedRangedWeapon",RogueDexPerLvl,WarriorStrPerLvl)*S$1),CombatantLevelAttributeMod)</f>
        <v>22</v>
      </c>
      <c r="T8" s="1">
        <f>ATTACKDAMAGE(IF(ISEVEN(COLUMN()),$B8,$C8),T$1,INT(IF('equipment-weapons'!$B8="TwoHandedRangedWeapon",RogueDexPerLvl,WarriorStrPerLvl)*T$1),CombatantLevelAttributeMod)</f>
        <v>20</v>
      </c>
      <c r="U8" s="1">
        <f>ATTACKDAMAGE(IF(ISEVEN(COLUMN()),$B8,$C8),U$1,INT(IF('equipment-weapons'!$B8="TwoHandedRangedWeapon",RogueDexPerLvl,WarriorStrPerLvl)*U$1),CombatantLevelAttributeMod)</f>
        <v>24</v>
      </c>
      <c r="V8" s="1">
        <f>ATTACKDAMAGE(IF(ISEVEN(COLUMN()),$B8,$C8),V$1,INT(IF('equipment-weapons'!$B8="TwoHandedRangedWeapon",RogueDexPerLvl,WarriorStrPerLvl)*V$1),CombatantLevelAttributeMod)</f>
        <v>24</v>
      </c>
      <c r="W8" s="1">
        <f>ATTACKDAMAGE(IF(ISEVEN(COLUMN()),$B8,$C8),W$1,INT(IF('equipment-weapons'!$B8="TwoHandedRangedWeapon",RogueDexPerLvl,WarriorStrPerLvl)*W$1),CombatantLevelAttributeMod)</f>
        <v>28</v>
      </c>
    </row>
    <row r="9" ht="13.5" customHeight="1" spans="1:23" x14ac:dyDescent="0.25">
      <c r="A9" s="3" t="str">
        <f>'equipment-weapons'!A9</f>
        <v>Blade</v>
      </c>
      <c r="B9" s="3">
        <f>'equipment-weapons'!F9</f>
        <v>4</v>
      </c>
      <c r="C9" s="3">
        <f>'equipment-weapons'!G9</f>
        <v>8</v>
      </c>
      <c r="D9" s="1">
        <f>ATTACKDAMAGE(IF(ISEVEN(COLUMN()),$B9,$C9),D$1,INT(IF('equipment-weapons'!$B9="TwoHandedRangedWeapon",RogueDexPerLvl,WarriorStrPerLvl)*D$1),CombatantLevelAttributeMod)</f>
        <v>5</v>
      </c>
      <c r="E9" s="1">
        <f>ATTACKDAMAGE(IF(ISEVEN(COLUMN()),$B9,$C9),E$1,INT(IF('equipment-weapons'!$B9="TwoHandedRangedWeapon",RogueDexPerLvl,WarriorStrPerLvl)*E$1),CombatantLevelAttributeMod)</f>
        <v>9</v>
      </c>
      <c r="F9" s="1">
        <f>ATTACKDAMAGE(IF(ISEVEN(COLUMN()),$B9,$C9),F$1,INT(IF('equipment-weapons'!$B9="TwoHandedRangedWeapon",RogueDexPerLvl,WarriorStrPerLvl)*F$1),CombatantLevelAttributeMod)</f>
        <v>6</v>
      </c>
      <c r="G9" s="1">
        <f>ATTACKDAMAGE(IF(ISEVEN(COLUMN()),$B9,$C9),G$1,INT(IF('equipment-weapons'!$B9="TwoHandedRangedWeapon",RogueDexPerLvl,WarriorStrPerLvl)*G$1),CombatantLevelAttributeMod)</f>
        <v>10</v>
      </c>
      <c r="H9" s="1">
        <f>ATTACKDAMAGE(IF(ISEVEN(COLUMN()),$B9,$C9),H$1,INT(IF('equipment-weapons'!$B9="TwoHandedRangedWeapon",RogueDexPerLvl,WarriorStrPerLvl)*H$1),CombatantLevelAttributeMod)</f>
        <v>8</v>
      </c>
      <c r="I9" s="1">
        <f>ATTACKDAMAGE(IF(ISEVEN(COLUMN()),$B9,$C9),I$1,INT(IF('equipment-weapons'!$B9="TwoHandedRangedWeapon",RogueDexPerLvl,WarriorStrPerLvl)*I$1),CombatantLevelAttributeMod)</f>
        <v>12</v>
      </c>
      <c r="J9" s="1">
        <f>ATTACKDAMAGE(IF(ISEVEN(COLUMN()),$B9,$C9),J$1,INT(IF('equipment-weapons'!$B9="TwoHandedRangedWeapon",RogueDexPerLvl,WarriorStrPerLvl)*J$1),CombatantLevelAttributeMod)</f>
        <v>10</v>
      </c>
      <c r="K9" s="1">
        <f>ATTACKDAMAGE(IF(ISEVEN(COLUMN()),$B9,$C9),K$1,INT(IF('equipment-weapons'!$B9="TwoHandedRangedWeapon",RogueDexPerLvl,WarriorStrPerLvl)*K$1),CombatantLevelAttributeMod)</f>
        <v>14</v>
      </c>
      <c r="L9" s="1">
        <f>ATTACKDAMAGE(IF(ISEVEN(COLUMN()),$B9,$C9),L$1,INT(IF('equipment-weapons'!$B9="TwoHandedRangedWeapon",RogueDexPerLvl,WarriorStrPerLvl)*L$1),CombatantLevelAttributeMod)</f>
        <v>12</v>
      </c>
      <c r="M9" s="1">
        <f>ATTACKDAMAGE(IF(ISEVEN(COLUMN()),$B9,$C9),M$1,INT(IF('equipment-weapons'!$B9="TwoHandedRangedWeapon",RogueDexPerLvl,WarriorStrPerLvl)*M$1),CombatantLevelAttributeMod)</f>
        <v>16</v>
      </c>
      <c r="N9" s="1">
        <f>ATTACKDAMAGE(IF(ISEVEN(COLUMN()),$B9,$C9),N$1,INT(IF('equipment-weapons'!$B9="TwoHandedRangedWeapon",RogueDexPerLvl,WarriorStrPerLvl)*N$1),CombatantLevelAttributeMod)</f>
        <v>14</v>
      </c>
      <c r="O9" s="1">
        <f>ATTACKDAMAGE(IF(ISEVEN(COLUMN()),$B9,$C9),O$1,INT(IF('equipment-weapons'!$B9="TwoHandedRangedWeapon",RogueDexPerLvl,WarriorStrPerLvl)*O$1),CombatantLevelAttributeMod)</f>
        <v>18</v>
      </c>
      <c r="P9" s="1">
        <f>ATTACKDAMAGE(IF(ISEVEN(COLUMN()),$B9,$C9),P$1,INT(IF('equipment-weapons'!$B9="TwoHandedRangedWeapon",RogueDexPerLvl,WarriorStrPerLvl)*P$1),CombatantLevelAttributeMod)</f>
        <v>16</v>
      </c>
      <c r="Q9" s="1">
        <f>ATTACKDAMAGE(IF(ISEVEN(COLUMN()),$B9,$C9),Q$1,INT(IF('equipment-weapons'!$B9="TwoHandedRangedWeapon",RogueDexPerLvl,WarriorStrPerLvl)*Q$1),CombatantLevelAttributeMod)</f>
        <v>20</v>
      </c>
      <c r="R9" s="1">
        <f>ATTACKDAMAGE(IF(ISEVEN(COLUMN()),$B9,$C9),R$1,INT(IF('equipment-weapons'!$B9="TwoHandedRangedWeapon",RogueDexPerLvl,WarriorStrPerLvl)*R$1),CombatantLevelAttributeMod)</f>
        <v>20</v>
      </c>
      <c r="S9" s="1">
        <f>ATTACKDAMAGE(IF(ISEVEN(COLUMN()),$B9,$C9),S$1,INT(IF('equipment-weapons'!$B9="TwoHandedRangedWeapon",RogueDexPerLvl,WarriorStrPerLvl)*S$1),CombatantLevelAttributeMod)</f>
        <v>24</v>
      </c>
      <c r="T9" s="1">
        <f>ATTACKDAMAGE(IF(ISEVEN(COLUMN()),$B9,$C9),T$1,INT(IF('equipment-weapons'!$B9="TwoHandedRangedWeapon",RogueDexPerLvl,WarriorStrPerLvl)*T$1),CombatantLevelAttributeMod)</f>
        <v>22</v>
      </c>
      <c r="U9" s="1">
        <f>ATTACKDAMAGE(IF(ISEVEN(COLUMN()),$B9,$C9),U$1,INT(IF('equipment-weapons'!$B9="TwoHandedRangedWeapon",RogueDexPerLvl,WarriorStrPerLvl)*U$1),CombatantLevelAttributeMod)</f>
        <v>26</v>
      </c>
      <c r="V9" s="1">
        <f>ATTACKDAMAGE(IF(ISEVEN(COLUMN()),$B9,$C9),V$1,INT(IF('equipment-weapons'!$B9="TwoHandedRangedWeapon",RogueDexPerLvl,WarriorStrPerLvl)*V$1),CombatantLevelAttributeMod)</f>
        <v>26</v>
      </c>
      <c r="W9" s="1">
        <f>ATTACKDAMAGE(IF(ISEVEN(COLUMN()),$B9,$C9),W$1,INT(IF('equipment-weapons'!$B9="TwoHandedRangedWeapon",RogueDexPerLvl,WarriorStrPerLvl)*W$1),CombatantLevelAttributeMod)</f>
        <v>30</v>
      </c>
    </row>
    <row r="10" ht="13.5" customHeight="1" spans="1:23" x14ac:dyDescent="0.25">
      <c r="A10" s="3" t="str">
        <f>'equipment-weapons'!A10</f>
        <v>BroadSword</v>
      </c>
      <c r="B10" s="3">
        <f>'equipment-weapons'!F10</f>
        <v>4</v>
      </c>
      <c r="C10" s="3">
        <f>'equipment-weapons'!G10</f>
        <v>12</v>
      </c>
      <c r="D10" s="1">
        <f>ATTACKDAMAGE(IF(ISEVEN(COLUMN()),$B10,$C10),D$1,INT(IF('equipment-weapons'!$B10="TwoHandedRangedWeapon",RogueDexPerLvl,WarriorStrPerLvl)*D$1),CombatantLevelAttributeMod)</f>
        <v>5</v>
      </c>
      <c r="E10" s="1">
        <f>ATTACKDAMAGE(IF(ISEVEN(COLUMN()),$B10,$C10),E$1,INT(IF('equipment-weapons'!$B10="TwoHandedRangedWeapon",RogueDexPerLvl,WarriorStrPerLvl)*E$1),CombatantLevelAttributeMod)</f>
        <v>13</v>
      </c>
      <c r="F10" s="1">
        <f>ATTACKDAMAGE(IF(ISEVEN(COLUMN()),$B10,$C10),F$1,INT(IF('equipment-weapons'!$B10="TwoHandedRangedWeapon",RogueDexPerLvl,WarriorStrPerLvl)*F$1),CombatantLevelAttributeMod)</f>
        <v>6</v>
      </c>
      <c r="G10" s="1">
        <f>ATTACKDAMAGE(IF(ISEVEN(COLUMN()),$B10,$C10),G$1,INT(IF('equipment-weapons'!$B10="TwoHandedRangedWeapon",RogueDexPerLvl,WarriorStrPerLvl)*G$1),CombatantLevelAttributeMod)</f>
        <v>14</v>
      </c>
      <c r="H10" s="1">
        <f>ATTACKDAMAGE(IF(ISEVEN(COLUMN()),$B10,$C10),H$1,INT(IF('equipment-weapons'!$B10="TwoHandedRangedWeapon",RogueDexPerLvl,WarriorStrPerLvl)*H$1),CombatantLevelAttributeMod)</f>
        <v>8</v>
      </c>
      <c r="I10" s="1">
        <f>ATTACKDAMAGE(IF(ISEVEN(COLUMN()),$B10,$C10),I$1,INT(IF('equipment-weapons'!$B10="TwoHandedRangedWeapon",RogueDexPerLvl,WarriorStrPerLvl)*I$1),CombatantLevelAttributeMod)</f>
        <v>16</v>
      </c>
      <c r="J10" s="1">
        <f>ATTACKDAMAGE(IF(ISEVEN(COLUMN()),$B10,$C10),J$1,INT(IF('equipment-weapons'!$B10="TwoHandedRangedWeapon",RogueDexPerLvl,WarriorStrPerLvl)*J$1),CombatantLevelAttributeMod)</f>
        <v>10</v>
      </c>
      <c r="K10" s="1">
        <f>ATTACKDAMAGE(IF(ISEVEN(COLUMN()),$B10,$C10),K$1,INT(IF('equipment-weapons'!$B10="TwoHandedRangedWeapon",RogueDexPerLvl,WarriorStrPerLvl)*K$1),CombatantLevelAttributeMod)</f>
        <v>18</v>
      </c>
      <c r="L10" s="1">
        <f>ATTACKDAMAGE(IF(ISEVEN(COLUMN()),$B10,$C10),L$1,INT(IF('equipment-weapons'!$B10="TwoHandedRangedWeapon",RogueDexPerLvl,WarriorStrPerLvl)*L$1),CombatantLevelAttributeMod)</f>
        <v>12</v>
      </c>
      <c r="M10" s="1">
        <f>ATTACKDAMAGE(IF(ISEVEN(COLUMN()),$B10,$C10),M$1,INT(IF('equipment-weapons'!$B10="TwoHandedRangedWeapon",RogueDexPerLvl,WarriorStrPerLvl)*M$1),CombatantLevelAttributeMod)</f>
        <v>20</v>
      </c>
      <c r="N10" s="1">
        <f>ATTACKDAMAGE(IF(ISEVEN(COLUMN()),$B10,$C10),N$1,INT(IF('equipment-weapons'!$B10="TwoHandedRangedWeapon",RogueDexPerLvl,WarriorStrPerLvl)*N$1),CombatantLevelAttributeMod)</f>
        <v>14</v>
      </c>
      <c r="O10" s="1">
        <f>ATTACKDAMAGE(IF(ISEVEN(COLUMN()),$B10,$C10),O$1,INT(IF('equipment-weapons'!$B10="TwoHandedRangedWeapon",RogueDexPerLvl,WarriorStrPerLvl)*O$1),CombatantLevelAttributeMod)</f>
        <v>22</v>
      </c>
      <c r="P10" s="1">
        <f>ATTACKDAMAGE(IF(ISEVEN(COLUMN()),$B10,$C10),P$1,INT(IF('equipment-weapons'!$B10="TwoHandedRangedWeapon",RogueDexPerLvl,WarriorStrPerLvl)*P$1),CombatantLevelAttributeMod)</f>
        <v>16</v>
      </c>
      <c r="Q10" s="1">
        <f>ATTACKDAMAGE(IF(ISEVEN(COLUMN()),$B10,$C10),Q$1,INT(IF('equipment-weapons'!$B10="TwoHandedRangedWeapon",RogueDexPerLvl,WarriorStrPerLvl)*Q$1),CombatantLevelAttributeMod)</f>
        <v>24</v>
      </c>
      <c r="R10" s="1">
        <f>ATTACKDAMAGE(IF(ISEVEN(COLUMN()),$B10,$C10),R$1,INT(IF('equipment-weapons'!$B10="TwoHandedRangedWeapon",RogueDexPerLvl,WarriorStrPerLvl)*R$1),CombatantLevelAttributeMod)</f>
        <v>20</v>
      </c>
      <c r="S10" s="1">
        <f>ATTACKDAMAGE(IF(ISEVEN(COLUMN()),$B10,$C10),S$1,INT(IF('equipment-weapons'!$B10="TwoHandedRangedWeapon",RogueDexPerLvl,WarriorStrPerLvl)*S$1),CombatantLevelAttributeMod)</f>
        <v>28</v>
      </c>
      <c r="T10" s="1">
        <f>ATTACKDAMAGE(IF(ISEVEN(COLUMN()),$B10,$C10),T$1,INT(IF('equipment-weapons'!$B10="TwoHandedRangedWeapon",RogueDexPerLvl,WarriorStrPerLvl)*T$1),CombatantLevelAttributeMod)</f>
        <v>22</v>
      </c>
      <c r="U10" s="1">
        <f>ATTACKDAMAGE(IF(ISEVEN(COLUMN()),$B10,$C10),U$1,INT(IF('equipment-weapons'!$B10="TwoHandedRangedWeapon",RogueDexPerLvl,WarriorStrPerLvl)*U$1),CombatantLevelAttributeMod)</f>
        <v>30</v>
      </c>
      <c r="V10" s="1">
        <f>ATTACKDAMAGE(IF(ISEVEN(COLUMN()),$B10,$C10),V$1,INT(IF('equipment-weapons'!$B10="TwoHandedRangedWeapon",RogueDexPerLvl,WarriorStrPerLvl)*V$1),CombatantLevelAttributeMod)</f>
        <v>26</v>
      </c>
      <c r="W10" s="1">
        <f>ATTACKDAMAGE(IF(ISEVEN(COLUMN()),$B10,$C10),W$1,INT(IF('equipment-weapons'!$B10="TwoHandedRangedWeapon",RogueDexPerLvl,WarriorStrPerLvl)*W$1),CombatantLevelAttributeMod)</f>
        <v>34</v>
      </c>
    </row>
    <row r="11" ht="13.5" customHeight="1" spans="1:23" x14ac:dyDescent="0.25">
      <c r="A11" s="3" t="str">
        <f>'equipment-weapons'!A11</f>
        <v>BastardSword</v>
      </c>
      <c r="B11" s="3">
        <f>'equipment-weapons'!F11</f>
        <v>6</v>
      </c>
      <c r="C11" s="3">
        <f>'equipment-weapons'!G11</f>
        <v>15</v>
      </c>
      <c r="D11" s="1">
        <f>ATTACKDAMAGE(IF(ISEVEN(COLUMN()),$B11,$C11),D$1,INT(IF('equipment-weapons'!$B11="TwoHandedRangedWeapon",RogueDexPerLvl,WarriorStrPerLvl)*D$1),CombatantLevelAttributeMod)</f>
        <v>7</v>
      </c>
      <c r="E11" s="1">
        <f>ATTACKDAMAGE(IF(ISEVEN(COLUMN()),$B11,$C11),E$1,INT(IF('equipment-weapons'!$B11="TwoHandedRangedWeapon",RogueDexPerLvl,WarriorStrPerLvl)*E$1),CombatantLevelAttributeMod)</f>
        <v>16</v>
      </c>
      <c r="F11" s="1">
        <f>ATTACKDAMAGE(IF(ISEVEN(COLUMN()),$B11,$C11),F$1,INT(IF('equipment-weapons'!$B11="TwoHandedRangedWeapon",RogueDexPerLvl,WarriorStrPerLvl)*F$1),CombatantLevelAttributeMod)</f>
        <v>8</v>
      </c>
      <c r="G11" s="1">
        <f>ATTACKDAMAGE(IF(ISEVEN(COLUMN()),$B11,$C11),G$1,INT(IF('equipment-weapons'!$B11="TwoHandedRangedWeapon",RogueDexPerLvl,WarriorStrPerLvl)*G$1),CombatantLevelAttributeMod)</f>
        <v>17</v>
      </c>
      <c r="H11" s="1">
        <f>ATTACKDAMAGE(IF(ISEVEN(COLUMN()),$B11,$C11),H$1,INT(IF('equipment-weapons'!$B11="TwoHandedRangedWeapon",RogueDexPerLvl,WarriorStrPerLvl)*H$1),CombatantLevelAttributeMod)</f>
        <v>10</v>
      </c>
      <c r="I11" s="1">
        <f>ATTACKDAMAGE(IF(ISEVEN(COLUMN()),$B11,$C11),I$1,INT(IF('equipment-weapons'!$B11="TwoHandedRangedWeapon",RogueDexPerLvl,WarriorStrPerLvl)*I$1),CombatantLevelAttributeMod)</f>
        <v>19</v>
      </c>
      <c r="J11" s="1">
        <f>ATTACKDAMAGE(IF(ISEVEN(COLUMN()),$B11,$C11),J$1,INT(IF('equipment-weapons'!$B11="TwoHandedRangedWeapon",RogueDexPerLvl,WarriorStrPerLvl)*J$1),CombatantLevelAttributeMod)</f>
        <v>12</v>
      </c>
      <c r="K11" s="1">
        <f>ATTACKDAMAGE(IF(ISEVEN(COLUMN()),$B11,$C11),K$1,INT(IF('equipment-weapons'!$B11="TwoHandedRangedWeapon",RogueDexPerLvl,WarriorStrPerLvl)*K$1),CombatantLevelAttributeMod)</f>
        <v>21</v>
      </c>
      <c r="L11" s="1">
        <f>ATTACKDAMAGE(IF(ISEVEN(COLUMN()),$B11,$C11),L$1,INT(IF('equipment-weapons'!$B11="TwoHandedRangedWeapon",RogueDexPerLvl,WarriorStrPerLvl)*L$1),CombatantLevelAttributeMod)</f>
        <v>14</v>
      </c>
      <c r="M11" s="1">
        <f>ATTACKDAMAGE(IF(ISEVEN(COLUMN()),$B11,$C11),M$1,INT(IF('equipment-weapons'!$B11="TwoHandedRangedWeapon",RogueDexPerLvl,WarriorStrPerLvl)*M$1),CombatantLevelAttributeMod)</f>
        <v>23</v>
      </c>
      <c r="N11" s="1">
        <f>ATTACKDAMAGE(IF(ISEVEN(COLUMN()),$B11,$C11),N$1,INT(IF('equipment-weapons'!$B11="TwoHandedRangedWeapon",RogueDexPerLvl,WarriorStrPerLvl)*N$1),CombatantLevelAttributeMod)</f>
        <v>16</v>
      </c>
      <c r="O11" s="1">
        <f>ATTACKDAMAGE(IF(ISEVEN(COLUMN()),$B11,$C11),O$1,INT(IF('equipment-weapons'!$B11="TwoHandedRangedWeapon",RogueDexPerLvl,WarriorStrPerLvl)*O$1),CombatantLevelAttributeMod)</f>
        <v>25</v>
      </c>
      <c r="P11" s="1">
        <f>ATTACKDAMAGE(IF(ISEVEN(COLUMN()),$B11,$C11),P$1,INT(IF('equipment-weapons'!$B11="TwoHandedRangedWeapon",RogueDexPerLvl,WarriorStrPerLvl)*P$1),CombatantLevelAttributeMod)</f>
        <v>18</v>
      </c>
      <c r="Q11" s="1">
        <f>ATTACKDAMAGE(IF(ISEVEN(COLUMN()),$B11,$C11),Q$1,INT(IF('equipment-weapons'!$B11="TwoHandedRangedWeapon",RogueDexPerLvl,WarriorStrPerLvl)*Q$1),CombatantLevelAttributeMod)</f>
        <v>27</v>
      </c>
      <c r="R11" s="1">
        <f>ATTACKDAMAGE(IF(ISEVEN(COLUMN()),$B11,$C11),R$1,INT(IF('equipment-weapons'!$B11="TwoHandedRangedWeapon",RogueDexPerLvl,WarriorStrPerLvl)*R$1),CombatantLevelAttributeMod)</f>
        <v>22</v>
      </c>
      <c r="S11" s="1">
        <f>ATTACKDAMAGE(IF(ISEVEN(COLUMN()),$B11,$C11),S$1,INT(IF('equipment-weapons'!$B11="TwoHandedRangedWeapon",RogueDexPerLvl,WarriorStrPerLvl)*S$1),CombatantLevelAttributeMod)</f>
        <v>31</v>
      </c>
      <c r="T11" s="1">
        <f>ATTACKDAMAGE(IF(ISEVEN(COLUMN()),$B11,$C11),T$1,INT(IF('equipment-weapons'!$B11="TwoHandedRangedWeapon",RogueDexPerLvl,WarriorStrPerLvl)*T$1),CombatantLevelAttributeMod)</f>
        <v>24</v>
      </c>
      <c r="U11" s="1">
        <f>ATTACKDAMAGE(IF(ISEVEN(COLUMN()),$B11,$C11),U$1,INT(IF('equipment-weapons'!$B11="TwoHandedRangedWeapon",RogueDexPerLvl,WarriorStrPerLvl)*U$1),CombatantLevelAttributeMod)</f>
        <v>33</v>
      </c>
      <c r="V11" s="1">
        <f>ATTACKDAMAGE(IF(ISEVEN(COLUMN()),$B11,$C11),V$1,INT(IF('equipment-weapons'!$B11="TwoHandedRangedWeapon",RogueDexPerLvl,WarriorStrPerLvl)*V$1),CombatantLevelAttributeMod)</f>
        <v>28</v>
      </c>
      <c r="W11" s="1">
        <f>ATTACKDAMAGE(IF(ISEVEN(COLUMN()),$B11,$C11),W$1,INT(IF('equipment-weapons'!$B11="TwoHandedRangedWeapon",RogueDexPerLvl,WarriorStrPerLvl)*W$1),CombatantLevelAttributeMod)</f>
        <v>37</v>
      </c>
    </row>
    <row r="12" ht="13.5" customHeight="1" spans="1:23" x14ac:dyDescent="0.25">
      <c r="A12" s="3" t="str">
        <f>'equipment-weapons'!A12</f>
        <v>Dagger</v>
      </c>
      <c r="B12" s="3">
        <f>'equipment-weapons'!F12</f>
        <v>1</v>
      </c>
      <c r="C12" s="3">
        <f>'equipment-weapons'!G12</f>
        <v>4</v>
      </c>
      <c r="D12" s="1">
        <f>ATTACKDAMAGE(IF(ISEVEN(COLUMN()),$B12,$C12),D$1,INT(IF('equipment-weapons'!$B12="TwoHandedRangedWeapon",RogueDexPerLvl,WarriorStrPerLvl)*D$1),CombatantLevelAttributeMod)</f>
        <v>2</v>
      </c>
      <c r="E12" s="1">
        <f>ATTACKDAMAGE(IF(ISEVEN(COLUMN()),$B12,$C12),E$1,INT(IF('equipment-weapons'!$B12="TwoHandedRangedWeapon",RogueDexPerLvl,WarriorStrPerLvl)*E$1),CombatantLevelAttributeMod)</f>
        <v>5</v>
      </c>
      <c r="F12" s="1">
        <f>ATTACKDAMAGE(IF(ISEVEN(COLUMN()),$B12,$C12),F$1,INT(IF('equipment-weapons'!$B12="TwoHandedRangedWeapon",RogueDexPerLvl,WarriorStrPerLvl)*F$1),CombatantLevelAttributeMod)</f>
        <v>3</v>
      </c>
      <c r="G12" s="1">
        <f>ATTACKDAMAGE(IF(ISEVEN(COLUMN()),$B12,$C12),G$1,INT(IF('equipment-weapons'!$B12="TwoHandedRangedWeapon",RogueDexPerLvl,WarriorStrPerLvl)*G$1),CombatantLevelAttributeMod)</f>
        <v>6</v>
      </c>
      <c r="H12" s="1">
        <f>ATTACKDAMAGE(IF(ISEVEN(COLUMN()),$B12,$C12),H$1,INT(IF('equipment-weapons'!$B12="TwoHandedRangedWeapon",RogueDexPerLvl,WarriorStrPerLvl)*H$1),CombatantLevelAttributeMod)</f>
        <v>5</v>
      </c>
      <c r="I12" s="1">
        <f>ATTACKDAMAGE(IF(ISEVEN(COLUMN()),$B12,$C12),I$1,INT(IF('equipment-weapons'!$B12="TwoHandedRangedWeapon",RogueDexPerLvl,WarriorStrPerLvl)*I$1),CombatantLevelAttributeMod)</f>
        <v>8</v>
      </c>
      <c r="J12" s="1">
        <f>ATTACKDAMAGE(IF(ISEVEN(COLUMN()),$B12,$C12),J$1,INT(IF('equipment-weapons'!$B12="TwoHandedRangedWeapon",RogueDexPerLvl,WarriorStrPerLvl)*J$1),CombatantLevelAttributeMod)</f>
        <v>7</v>
      </c>
      <c r="K12" s="1">
        <f>ATTACKDAMAGE(IF(ISEVEN(COLUMN()),$B12,$C12),K$1,INT(IF('equipment-weapons'!$B12="TwoHandedRangedWeapon",RogueDexPerLvl,WarriorStrPerLvl)*K$1),CombatantLevelAttributeMod)</f>
        <v>10</v>
      </c>
      <c r="L12" s="1">
        <f>ATTACKDAMAGE(IF(ISEVEN(COLUMN()),$B12,$C12),L$1,INT(IF('equipment-weapons'!$B12="TwoHandedRangedWeapon",RogueDexPerLvl,WarriorStrPerLvl)*L$1),CombatantLevelAttributeMod)</f>
        <v>9</v>
      </c>
      <c r="M12" s="1">
        <f>ATTACKDAMAGE(IF(ISEVEN(COLUMN()),$B12,$C12),M$1,INT(IF('equipment-weapons'!$B12="TwoHandedRangedWeapon",RogueDexPerLvl,WarriorStrPerLvl)*M$1),CombatantLevelAttributeMod)</f>
        <v>12</v>
      </c>
      <c r="N12" s="1">
        <f>ATTACKDAMAGE(IF(ISEVEN(COLUMN()),$B12,$C12),N$1,INT(IF('equipment-weapons'!$B12="TwoHandedRangedWeapon",RogueDexPerLvl,WarriorStrPerLvl)*N$1),CombatantLevelAttributeMod)</f>
        <v>11</v>
      </c>
      <c r="O12" s="1">
        <f>ATTACKDAMAGE(IF(ISEVEN(COLUMN()),$B12,$C12),O$1,INT(IF('equipment-weapons'!$B12="TwoHandedRangedWeapon",RogueDexPerLvl,WarriorStrPerLvl)*O$1),CombatantLevelAttributeMod)</f>
        <v>14</v>
      </c>
      <c r="P12" s="1">
        <f>ATTACKDAMAGE(IF(ISEVEN(COLUMN()),$B12,$C12),P$1,INT(IF('equipment-weapons'!$B12="TwoHandedRangedWeapon",RogueDexPerLvl,WarriorStrPerLvl)*P$1),CombatantLevelAttributeMod)</f>
        <v>13</v>
      </c>
      <c r="Q12" s="1">
        <f>ATTACKDAMAGE(IF(ISEVEN(COLUMN()),$B12,$C12),Q$1,INT(IF('equipment-weapons'!$B12="TwoHandedRangedWeapon",RogueDexPerLvl,WarriorStrPerLvl)*Q$1),CombatantLevelAttributeMod)</f>
        <v>16</v>
      </c>
      <c r="R12" s="1">
        <f>ATTACKDAMAGE(IF(ISEVEN(COLUMN()),$B12,$C12),R$1,INT(IF('equipment-weapons'!$B12="TwoHandedRangedWeapon",RogueDexPerLvl,WarriorStrPerLvl)*R$1),CombatantLevelAttributeMod)</f>
        <v>17</v>
      </c>
      <c r="S12" s="1">
        <f>ATTACKDAMAGE(IF(ISEVEN(COLUMN()),$B12,$C12),S$1,INT(IF('equipment-weapons'!$B12="TwoHandedRangedWeapon",RogueDexPerLvl,WarriorStrPerLvl)*S$1),CombatantLevelAttributeMod)</f>
        <v>20</v>
      </c>
      <c r="T12" s="1">
        <f>ATTACKDAMAGE(IF(ISEVEN(COLUMN()),$B12,$C12),T$1,INT(IF('equipment-weapons'!$B12="TwoHandedRangedWeapon",RogueDexPerLvl,WarriorStrPerLvl)*T$1),CombatantLevelAttributeMod)</f>
        <v>19</v>
      </c>
      <c r="U12" s="1">
        <f>ATTACKDAMAGE(IF(ISEVEN(COLUMN()),$B12,$C12),U$1,INT(IF('equipment-weapons'!$B12="TwoHandedRangedWeapon",RogueDexPerLvl,WarriorStrPerLvl)*U$1),CombatantLevelAttributeMod)</f>
        <v>22</v>
      </c>
      <c r="V12" s="1">
        <f>ATTACKDAMAGE(IF(ISEVEN(COLUMN()),$B12,$C12),V$1,INT(IF('equipment-weapons'!$B12="TwoHandedRangedWeapon",RogueDexPerLvl,WarriorStrPerLvl)*V$1),CombatantLevelAttributeMod)</f>
        <v>23</v>
      </c>
      <c r="W12" s="1">
        <f>ATTACKDAMAGE(IF(ISEVEN(COLUMN()),$B12,$C12),W$1,INT(IF('equipment-weapons'!$B12="TwoHandedRangedWeapon",RogueDexPerLvl,WarriorStrPerLvl)*W$1),CombatantLevelAttributeMod)</f>
        <v>26</v>
      </c>
    </row>
    <row r="13" ht="13.5" customHeight="1" spans="1:23" x14ac:dyDescent="0.25">
      <c r="A13" s="3" t="str">
        <f>'equipment-weapons'!A13</f>
        <v>Rapier</v>
      </c>
      <c r="B13" s="3">
        <f>'equipment-weapons'!F13</f>
        <v>1</v>
      </c>
      <c r="C13" s="3">
        <f>'equipment-weapons'!G13</f>
        <v>11</v>
      </c>
      <c r="D13" s="1">
        <f>ATTACKDAMAGE(IF(ISEVEN(COLUMN()),$B13,$C13),D$1,INT(IF('equipment-weapons'!$B13="TwoHandedRangedWeapon",RogueDexPerLvl,WarriorStrPerLvl)*D$1),CombatantLevelAttributeMod)</f>
        <v>2</v>
      </c>
      <c r="E13" s="1">
        <f>ATTACKDAMAGE(IF(ISEVEN(COLUMN()),$B13,$C13),E$1,INT(IF('equipment-weapons'!$B13="TwoHandedRangedWeapon",RogueDexPerLvl,WarriorStrPerLvl)*E$1),CombatantLevelAttributeMod)</f>
        <v>12</v>
      </c>
      <c r="F13" s="1">
        <f>ATTACKDAMAGE(IF(ISEVEN(COLUMN()),$B13,$C13),F$1,INT(IF('equipment-weapons'!$B13="TwoHandedRangedWeapon",RogueDexPerLvl,WarriorStrPerLvl)*F$1),CombatantLevelAttributeMod)</f>
        <v>3</v>
      </c>
      <c r="G13" s="1">
        <f>ATTACKDAMAGE(IF(ISEVEN(COLUMN()),$B13,$C13),G$1,INT(IF('equipment-weapons'!$B13="TwoHandedRangedWeapon",RogueDexPerLvl,WarriorStrPerLvl)*G$1),CombatantLevelAttributeMod)</f>
        <v>13</v>
      </c>
      <c r="H13" s="1">
        <f>ATTACKDAMAGE(IF(ISEVEN(COLUMN()),$B13,$C13),H$1,INT(IF('equipment-weapons'!$B13="TwoHandedRangedWeapon",RogueDexPerLvl,WarriorStrPerLvl)*H$1),CombatantLevelAttributeMod)</f>
        <v>5</v>
      </c>
      <c r="I13" s="1">
        <f>ATTACKDAMAGE(IF(ISEVEN(COLUMN()),$B13,$C13),I$1,INT(IF('equipment-weapons'!$B13="TwoHandedRangedWeapon",RogueDexPerLvl,WarriorStrPerLvl)*I$1),CombatantLevelAttributeMod)</f>
        <v>15</v>
      </c>
      <c r="J13" s="1">
        <f>ATTACKDAMAGE(IF(ISEVEN(COLUMN()),$B13,$C13),J$1,INT(IF('equipment-weapons'!$B13="TwoHandedRangedWeapon",RogueDexPerLvl,WarriorStrPerLvl)*J$1),CombatantLevelAttributeMod)</f>
        <v>7</v>
      </c>
      <c r="K13" s="1">
        <f>ATTACKDAMAGE(IF(ISEVEN(COLUMN()),$B13,$C13),K$1,INT(IF('equipment-weapons'!$B13="TwoHandedRangedWeapon",RogueDexPerLvl,WarriorStrPerLvl)*K$1),CombatantLevelAttributeMod)</f>
        <v>17</v>
      </c>
      <c r="L13" s="1">
        <f>ATTACKDAMAGE(IF(ISEVEN(COLUMN()),$B13,$C13),L$1,INT(IF('equipment-weapons'!$B13="TwoHandedRangedWeapon",RogueDexPerLvl,WarriorStrPerLvl)*L$1),CombatantLevelAttributeMod)</f>
        <v>9</v>
      </c>
      <c r="M13" s="1">
        <f>ATTACKDAMAGE(IF(ISEVEN(COLUMN()),$B13,$C13),M$1,INT(IF('equipment-weapons'!$B13="TwoHandedRangedWeapon",RogueDexPerLvl,WarriorStrPerLvl)*M$1),CombatantLevelAttributeMod)</f>
        <v>19</v>
      </c>
      <c r="N13" s="1">
        <f>ATTACKDAMAGE(IF(ISEVEN(COLUMN()),$B13,$C13),N$1,INT(IF('equipment-weapons'!$B13="TwoHandedRangedWeapon",RogueDexPerLvl,WarriorStrPerLvl)*N$1),CombatantLevelAttributeMod)</f>
        <v>11</v>
      </c>
      <c r="O13" s="1">
        <f>ATTACKDAMAGE(IF(ISEVEN(COLUMN()),$B13,$C13),O$1,INT(IF('equipment-weapons'!$B13="TwoHandedRangedWeapon",RogueDexPerLvl,WarriorStrPerLvl)*O$1),CombatantLevelAttributeMod)</f>
        <v>21</v>
      </c>
      <c r="P13" s="1">
        <f>ATTACKDAMAGE(IF(ISEVEN(COLUMN()),$B13,$C13),P$1,INT(IF('equipment-weapons'!$B13="TwoHandedRangedWeapon",RogueDexPerLvl,WarriorStrPerLvl)*P$1),CombatantLevelAttributeMod)</f>
        <v>13</v>
      </c>
      <c r="Q13" s="1">
        <f>ATTACKDAMAGE(IF(ISEVEN(COLUMN()),$B13,$C13),Q$1,INT(IF('equipment-weapons'!$B13="TwoHandedRangedWeapon",RogueDexPerLvl,WarriorStrPerLvl)*Q$1),CombatantLevelAttributeMod)</f>
        <v>23</v>
      </c>
      <c r="R13" s="1">
        <f>ATTACKDAMAGE(IF(ISEVEN(COLUMN()),$B13,$C13),R$1,INT(IF('equipment-weapons'!$B13="TwoHandedRangedWeapon",RogueDexPerLvl,WarriorStrPerLvl)*R$1),CombatantLevelAttributeMod)</f>
        <v>17</v>
      </c>
      <c r="S13" s="1">
        <f>ATTACKDAMAGE(IF(ISEVEN(COLUMN()),$B13,$C13),S$1,INT(IF('equipment-weapons'!$B13="TwoHandedRangedWeapon",RogueDexPerLvl,WarriorStrPerLvl)*S$1),CombatantLevelAttributeMod)</f>
        <v>27</v>
      </c>
      <c r="T13" s="1">
        <f>ATTACKDAMAGE(IF(ISEVEN(COLUMN()),$B13,$C13),T$1,INT(IF('equipment-weapons'!$B13="TwoHandedRangedWeapon",RogueDexPerLvl,WarriorStrPerLvl)*T$1),CombatantLevelAttributeMod)</f>
        <v>19</v>
      </c>
      <c r="U13" s="1">
        <f>ATTACKDAMAGE(IF(ISEVEN(COLUMN()),$B13,$C13),U$1,INT(IF('equipment-weapons'!$B13="TwoHandedRangedWeapon",RogueDexPerLvl,WarriorStrPerLvl)*U$1),CombatantLevelAttributeMod)</f>
        <v>29</v>
      </c>
      <c r="V13" s="1">
        <f>ATTACKDAMAGE(IF(ISEVEN(COLUMN()),$B13,$C13),V$1,INT(IF('equipment-weapons'!$B13="TwoHandedRangedWeapon",RogueDexPerLvl,WarriorStrPerLvl)*V$1),CombatantLevelAttributeMod)</f>
        <v>23</v>
      </c>
      <c r="W13" s="1">
        <f>ATTACKDAMAGE(IF(ISEVEN(COLUMN()),$B13,$C13),W$1,INT(IF('equipment-weapons'!$B13="TwoHandedRangedWeapon",RogueDexPerLvl,WarriorStrPerLvl)*W$1),CombatantLevelAttributeMod)</f>
        <v>33</v>
      </c>
    </row>
    <row r="14" ht="13.5" customHeight="1" spans="1:23" x14ac:dyDescent="0.25">
      <c r="A14" s="3" t="str">
        <f>'equipment-weapons'!A14</f>
        <v>ShortSpear</v>
      </c>
      <c r="B14" s="3">
        <f>'equipment-weapons'!F14</f>
        <v>4</v>
      </c>
      <c r="C14" s="3">
        <f>'equipment-weapons'!G14</f>
        <v>13</v>
      </c>
      <c r="D14" s="1">
        <f>ATTACKDAMAGE(IF(ISEVEN(COLUMN()),$B14,$C14),D$1,INT(IF('equipment-weapons'!$B14="TwoHandedRangedWeapon",RogueDexPerLvl,WarriorStrPerLvl)*D$1),CombatantLevelAttributeMod)</f>
        <v>5</v>
      </c>
      <c r="E14" s="1">
        <f>ATTACKDAMAGE(IF(ISEVEN(COLUMN()),$B14,$C14),E$1,INT(IF('equipment-weapons'!$B14="TwoHandedRangedWeapon",RogueDexPerLvl,WarriorStrPerLvl)*E$1),CombatantLevelAttributeMod)</f>
        <v>14</v>
      </c>
      <c r="F14" s="1">
        <f>ATTACKDAMAGE(IF(ISEVEN(COLUMN()),$B14,$C14),F$1,INT(IF('equipment-weapons'!$B14="TwoHandedRangedWeapon",RogueDexPerLvl,WarriorStrPerLvl)*F$1),CombatantLevelAttributeMod)</f>
        <v>6</v>
      </c>
      <c r="G14" s="1">
        <f>ATTACKDAMAGE(IF(ISEVEN(COLUMN()),$B14,$C14),G$1,INT(IF('equipment-weapons'!$B14="TwoHandedRangedWeapon",RogueDexPerLvl,WarriorStrPerLvl)*G$1),CombatantLevelAttributeMod)</f>
        <v>15</v>
      </c>
      <c r="H14" s="1">
        <f>ATTACKDAMAGE(IF(ISEVEN(COLUMN()),$B14,$C14),H$1,INT(IF('equipment-weapons'!$B14="TwoHandedRangedWeapon",RogueDexPerLvl,WarriorStrPerLvl)*H$1),CombatantLevelAttributeMod)</f>
        <v>8</v>
      </c>
      <c r="I14" s="1">
        <f>ATTACKDAMAGE(IF(ISEVEN(COLUMN()),$B14,$C14),I$1,INT(IF('equipment-weapons'!$B14="TwoHandedRangedWeapon",RogueDexPerLvl,WarriorStrPerLvl)*I$1),CombatantLevelAttributeMod)</f>
        <v>17</v>
      </c>
      <c r="J14" s="1">
        <f>ATTACKDAMAGE(IF(ISEVEN(COLUMN()),$B14,$C14),J$1,INT(IF('equipment-weapons'!$B14="TwoHandedRangedWeapon",RogueDexPerLvl,WarriorStrPerLvl)*J$1),CombatantLevelAttributeMod)</f>
        <v>10</v>
      </c>
      <c r="K14" s="1">
        <f>ATTACKDAMAGE(IF(ISEVEN(COLUMN()),$B14,$C14),K$1,INT(IF('equipment-weapons'!$B14="TwoHandedRangedWeapon",RogueDexPerLvl,WarriorStrPerLvl)*K$1),CombatantLevelAttributeMod)</f>
        <v>19</v>
      </c>
      <c r="L14" s="1">
        <f>ATTACKDAMAGE(IF(ISEVEN(COLUMN()),$B14,$C14),L$1,INT(IF('equipment-weapons'!$B14="TwoHandedRangedWeapon",RogueDexPerLvl,WarriorStrPerLvl)*L$1),CombatantLevelAttributeMod)</f>
        <v>12</v>
      </c>
      <c r="M14" s="1">
        <f>ATTACKDAMAGE(IF(ISEVEN(COLUMN()),$B14,$C14),M$1,INT(IF('equipment-weapons'!$B14="TwoHandedRangedWeapon",RogueDexPerLvl,WarriorStrPerLvl)*M$1),CombatantLevelAttributeMod)</f>
        <v>21</v>
      </c>
      <c r="N14" s="1">
        <f>ATTACKDAMAGE(IF(ISEVEN(COLUMN()),$B14,$C14),N$1,INT(IF('equipment-weapons'!$B14="TwoHandedRangedWeapon",RogueDexPerLvl,WarriorStrPerLvl)*N$1),CombatantLevelAttributeMod)</f>
        <v>14</v>
      </c>
      <c r="O14" s="1">
        <f>ATTACKDAMAGE(IF(ISEVEN(COLUMN()),$B14,$C14),O$1,INT(IF('equipment-weapons'!$B14="TwoHandedRangedWeapon",RogueDexPerLvl,WarriorStrPerLvl)*O$1),CombatantLevelAttributeMod)</f>
        <v>23</v>
      </c>
      <c r="P14" s="1">
        <f>ATTACKDAMAGE(IF(ISEVEN(COLUMN()),$B14,$C14),P$1,INT(IF('equipment-weapons'!$B14="TwoHandedRangedWeapon",RogueDexPerLvl,WarriorStrPerLvl)*P$1),CombatantLevelAttributeMod)</f>
        <v>16</v>
      </c>
      <c r="Q14" s="1">
        <f>ATTACKDAMAGE(IF(ISEVEN(COLUMN()),$B14,$C14),Q$1,INT(IF('equipment-weapons'!$B14="TwoHandedRangedWeapon",RogueDexPerLvl,WarriorStrPerLvl)*Q$1),CombatantLevelAttributeMod)</f>
        <v>25</v>
      </c>
      <c r="R14" s="1">
        <f>ATTACKDAMAGE(IF(ISEVEN(COLUMN()),$B14,$C14),R$1,INT(IF('equipment-weapons'!$B14="TwoHandedRangedWeapon",RogueDexPerLvl,WarriorStrPerLvl)*R$1),CombatantLevelAttributeMod)</f>
        <v>20</v>
      </c>
      <c r="S14" s="1">
        <f>ATTACKDAMAGE(IF(ISEVEN(COLUMN()),$B14,$C14),S$1,INT(IF('equipment-weapons'!$B14="TwoHandedRangedWeapon",RogueDexPerLvl,WarriorStrPerLvl)*S$1),CombatantLevelAttributeMod)</f>
        <v>29</v>
      </c>
      <c r="T14" s="1">
        <f>ATTACKDAMAGE(IF(ISEVEN(COLUMN()),$B14,$C14),T$1,INT(IF('equipment-weapons'!$B14="TwoHandedRangedWeapon",RogueDexPerLvl,WarriorStrPerLvl)*T$1),CombatantLevelAttributeMod)</f>
        <v>22</v>
      </c>
      <c r="U14" s="1">
        <f>ATTACKDAMAGE(IF(ISEVEN(COLUMN()),$B14,$C14),U$1,INT(IF('equipment-weapons'!$B14="TwoHandedRangedWeapon",RogueDexPerLvl,WarriorStrPerLvl)*U$1),CombatantLevelAttributeMod)</f>
        <v>31</v>
      </c>
      <c r="V14" s="1">
        <f>ATTACKDAMAGE(IF(ISEVEN(COLUMN()),$B14,$C14),V$1,INT(IF('equipment-weapons'!$B14="TwoHandedRangedWeapon",RogueDexPerLvl,WarriorStrPerLvl)*V$1),CombatantLevelAttributeMod)</f>
        <v>26</v>
      </c>
      <c r="W14" s="1">
        <f>ATTACKDAMAGE(IF(ISEVEN(COLUMN()),$B14,$C14),W$1,INT(IF('equipment-weapons'!$B14="TwoHandedRangedWeapon",RogueDexPerLvl,WarriorStrPerLvl)*W$1),CombatantLevelAttributeMod)</f>
        <v>35</v>
      </c>
    </row>
    <row r="15" ht="13.5" customHeight="1" spans="1:23" x14ac:dyDescent="0.25">
      <c r="A15" s="3" t="str">
        <f>'equipment-weapons'!A15</f>
        <v>RuneSword</v>
      </c>
      <c r="B15" s="3">
        <f>'equipment-weapons'!F15</f>
        <v>2</v>
      </c>
      <c r="C15" s="3">
        <f>'equipment-weapons'!G15</f>
        <v>12</v>
      </c>
      <c r="D15" s="1">
        <f>ATTACKDAMAGE(IF(ISEVEN(COLUMN()),$B15,$C15),D$1,INT(IF('equipment-weapons'!$B15="TwoHandedRangedWeapon",RogueDexPerLvl,WarriorStrPerLvl)*D$1),CombatantLevelAttributeMod)</f>
        <v>3</v>
      </c>
      <c r="E15" s="1">
        <f>ATTACKDAMAGE(IF(ISEVEN(COLUMN()),$B15,$C15),E$1,INT(IF('equipment-weapons'!$B15="TwoHandedRangedWeapon",RogueDexPerLvl,WarriorStrPerLvl)*E$1),CombatantLevelAttributeMod)</f>
        <v>13</v>
      </c>
      <c r="F15" s="1">
        <f>ATTACKDAMAGE(IF(ISEVEN(COLUMN()),$B15,$C15),F$1,INT(IF('equipment-weapons'!$B15="TwoHandedRangedWeapon",RogueDexPerLvl,WarriorStrPerLvl)*F$1),CombatantLevelAttributeMod)</f>
        <v>4</v>
      </c>
      <c r="G15" s="1">
        <f>ATTACKDAMAGE(IF(ISEVEN(COLUMN()),$B15,$C15),G$1,INT(IF('equipment-weapons'!$B15="TwoHandedRangedWeapon",RogueDexPerLvl,WarriorStrPerLvl)*G$1),CombatantLevelAttributeMod)</f>
        <v>14</v>
      </c>
      <c r="H15" s="1">
        <f>ATTACKDAMAGE(IF(ISEVEN(COLUMN()),$B15,$C15),H$1,INT(IF('equipment-weapons'!$B15="TwoHandedRangedWeapon",RogueDexPerLvl,WarriorStrPerLvl)*H$1),CombatantLevelAttributeMod)</f>
        <v>6</v>
      </c>
      <c r="I15" s="1">
        <f>ATTACKDAMAGE(IF(ISEVEN(COLUMN()),$B15,$C15),I$1,INT(IF('equipment-weapons'!$B15="TwoHandedRangedWeapon",RogueDexPerLvl,WarriorStrPerLvl)*I$1),CombatantLevelAttributeMod)</f>
        <v>16</v>
      </c>
      <c r="J15" s="1">
        <f>ATTACKDAMAGE(IF(ISEVEN(COLUMN()),$B15,$C15),J$1,INT(IF('equipment-weapons'!$B15="TwoHandedRangedWeapon",RogueDexPerLvl,WarriorStrPerLvl)*J$1),CombatantLevelAttributeMod)</f>
        <v>8</v>
      </c>
      <c r="K15" s="1">
        <f>ATTACKDAMAGE(IF(ISEVEN(COLUMN()),$B15,$C15),K$1,INT(IF('equipment-weapons'!$B15="TwoHandedRangedWeapon",RogueDexPerLvl,WarriorStrPerLvl)*K$1),CombatantLevelAttributeMod)</f>
        <v>18</v>
      </c>
      <c r="L15" s="1">
        <f>ATTACKDAMAGE(IF(ISEVEN(COLUMN()),$B15,$C15),L$1,INT(IF('equipment-weapons'!$B15="TwoHandedRangedWeapon",RogueDexPerLvl,WarriorStrPerLvl)*L$1),CombatantLevelAttributeMod)</f>
        <v>10</v>
      </c>
      <c r="M15" s="1">
        <f>ATTACKDAMAGE(IF(ISEVEN(COLUMN()),$B15,$C15),M$1,INT(IF('equipment-weapons'!$B15="TwoHandedRangedWeapon",RogueDexPerLvl,WarriorStrPerLvl)*M$1),CombatantLevelAttributeMod)</f>
        <v>20</v>
      </c>
      <c r="N15" s="1">
        <f>ATTACKDAMAGE(IF(ISEVEN(COLUMN()),$B15,$C15),N$1,INT(IF('equipment-weapons'!$B15="TwoHandedRangedWeapon",RogueDexPerLvl,WarriorStrPerLvl)*N$1),CombatantLevelAttributeMod)</f>
        <v>12</v>
      </c>
      <c r="O15" s="1">
        <f>ATTACKDAMAGE(IF(ISEVEN(COLUMN()),$B15,$C15),O$1,INT(IF('equipment-weapons'!$B15="TwoHandedRangedWeapon",RogueDexPerLvl,WarriorStrPerLvl)*O$1),CombatantLevelAttributeMod)</f>
        <v>22</v>
      </c>
      <c r="P15" s="1">
        <f>ATTACKDAMAGE(IF(ISEVEN(COLUMN()),$B15,$C15),P$1,INT(IF('equipment-weapons'!$B15="TwoHandedRangedWeapon",RogueDexPerLvl,WarriorStrPerLvl)*P$1),CombatantLevelAttributeMod)</f>
        <v>14</v>
      </c>
      <c r="Q15" s="1">
        <f>ATTACKDAMAGE(IF(ISEVEN(COLUMN()),$B15,$C15),Q$1,INT(IF('equipment-weapons'!$B15="TwoHandedRangedWeapon",RogueDexPerLvl,WarriorStrPerLvl)*Q$1),CombatantLevelAttributeMod)</f>
        <v>24</v>
      </c>
      <c r="R15" s="1">
        <f>ATTACKDAMAGE(IF(ISEVEN(COLUMN()),$B15,$C15),R$1,INT(IF('equipment-weapons'!$B15="TwoHandedRangedWeapon",RogueDexPerLvl,WarriorStrPerLvl)*R$1),CombatantLevelAttributeMod)</f>
        <v>18</v>
      </c>
      <c r="S15" s="1">
        <f>ATTACKDAMAGE(IF(ISEVEN(COLUMN()),$B15,$C15),S$1,INT(IF('equipment-weapons'!$B15="TwoHandedRangedWeapon",RogueDexPerLvl,WarriorStrPerLvl)*S$1),CombatantLevelAttributeMod)</f>
        <v>28</v>
      </c>
      <c r="T15" s="1">
        <f>ATTACKDAMAGE(IF(ISEVEN(COLUMN()),$B15,$C15),T$1,INT(IF('equipment-weapons'!$B15="TwoHandedRangedWeapon",RogueDexPerLvl,WarriorStrPerLvl)*T$1),CombatantLevelAttributeMod)</f>
        <v>20</v>
      </c>
      <c r="U15" s="1">
        <f>ATTACKDAMAGE(IF(ISEVEN(COLUMN()),$B15,$C15),U$1,INT(IF('equipment-weapons'!$B15="TwoHandedRangedWeapon",RogueDexPerLvl,WarriorStrPerLvl)*U$1),CombatantLevelAttributeMod)</f>
        <v>30</v>
      </c>
      <c r="V15" s="1">
        <f>ATTACKDAMAGE(IF(ISEVEN(COLUMN()),$B15,$C15),V$1,INT(IF('equipment-weapons'!$B15="TwoHandedRangedWeapon",RogueDexPerLvl,WarriorStrPerLvl)*V$1),CombatantLevelAttributeMod)</f>
        <v>24</v>
      </c>
      <c r="W15" s="1">
        <f>ATTACKDAMAGE(IF(ISEVEN(COLUMN()),$B15,$C15),W$1,INT(IF('equipment-weapons'!$B15="TwoHandedRangedWeapon",RogueDexPerLvl,WarriorStrPerLvl)*W$1),CombatantLevelAttributeMod)</f>
        <v>34</v>
      </c>
    </row>
    <row r="16" ht="13.5" customHeight="1" spans="1:23" x14ac:dyDescent="0.25">
      <c r="A16" s="3" t="str">
        <f>'equipment-weapons'!A16</f>
        <v>EtherBlade</v>
      </c>
      <c r="B16" s="3">
        <f>'equipment-weapons'!F16</f>
        <v>6</v>
      </c>
      <c r="C16" s="3">
        <f>'equipment-weapons'!G16</f>
        <v>10</v>
      </c>
      <c r="D16" s="1">
        <f>ATTACKDAMAGE(IF(ISEVEN(COLUMN()),$B16,$C16),D$1,INT(IF('equipment-weapons'!$B16="TwoHandedRangedWeapon",RogueDexPerLvl,WarriorStrPerLvl)*D$1),CombatantLevelAttributeMod)</f>
        <v>7</v>
      </c>
      <c r="E16" s="1">
        <f>ATTACKDAMAGE(IF(ISEVEN(COLUMN()),$B16,$C16),E$1,INT(IF('equipment-weapons'!$B16="TwoHandedRangedWeapon",RogueDexPerLvl,WarriorStrPerLvl)*E$1),CombatantLevelAttributeMod)</f>
        <v>11</v>
      </c>
      <c r="F16" s="1">
        <f>ATTACKDAMAGE(IF(ISEVEN(COLUMN()),$B16,$C16),F$1,INT(IF('equipment-weapons'!$B16="TwoHandedRangedWeapon",RogueDexPerLvl,WarriorStrPerLvl)*F$1),CombatantLevelAttributeMod)</f>
        <v>8</v>
      </c>
      <c r="G16" s="1">
        <f>ATTACKDAMAGE(IF(ISEVEN(COLUMN()),$B16,$C16),G$1,INT(IF('equipment-weapons'!$B16="TwoHandedRangedWeapon",RogueDexPerLvl,WarriorStrPerLvl)*G$1),CombatantLevelAttributeMod)</f>
        <v>12</v>
      </c>
      <c r="H16" s="1">
        <f>ATTACKDAMAGE(IF(ISEVEN(COLUMN()),$B16,$C16),H$1,INT(IF('equipment-weapons'!$B16="TwoHandedRangedWeapon",RogueDexPerLvl,WarriorStrPerLvl)*H$1),CombatantLevelAttributeMod)</f>
        <v>10</v>
      </c>
      <c r="I16" s="1">
        <f>ATTACKDAMAGE(IF(ISEVEN(COLUMN()),$B16,$C16),I$1,INT(IF('equipment-weapons'!$B16="TwoHandedRangedWeapon",RogueDexPerLvl,WarriorStrPerLvl)*I$1),CombatantLevelAttributeMod)</f>
        <v>14</v>
      </c>
      <c r="J16" s="1">
        <f>ATTACKDAMAGE(IF(ISEVEN(COLUMN()),$B16,$C16),J$1,INT(IF('equipment-weapons'!$B16="TwoHandedRangedWeapon",RogueDexPerLvl,WarriorStrPerLvl)*J$1),CombatantLevelAttributeMod)</f>
        <v>12</v>
      </c>
      <c r="K16" s="1">
        <f>ATTACKDAMAGE(IF(ISEVEN(COLUMN()),$B16,$C16),K$1,INT(IF('equipment-weapons'!$B16="TwoHandedRangedWeapon",RogueDexPerLvl,WarriorStrPerLvl)*K$1),CombatantLevelAttributeMod)</f>
        <v>16</v>
      </c>
      <c r="L16" s="1">
        <f>ATTACKDAMAGE(IF(ISEVEN(COLUMN()),$B16,$C16),L$1,INT(IF('equipment-weapons'!$B16="TwoHandedRangedWeapon",RogueDexPerLvl,WarriorStrPerLvl)*L$1),CombatantLevelAttributeMod)</f>
        <v>14</v>
      </c>
      <c r="M16" s="1">
        <f>ATTACKDAMAGE(IF(ISEVEN(COLUMN()),$B16,$C16),M$1,INT(IF('equipment-weapons'!$B16="TwoHandedRangedWeapon",RogueDexPerLvl,WarriorStrPerLvl)*M$1),CombatantLevelAttributeMod)</f>
        <v>18</v>
      </c>
      <c r="N16" s="1">
        <f>ATTACKDAMAGE(IF(ISEVEN(COLUMN()),$B16,$C16),N$1,INT(IF('equipment-weapons'!$B16="TwoHandedRangedWeapon",RogueDexPerLvl,WarriorStrPerLvl)*N$1),CombatantLevelAttributeMod)</f>
        <v>16</v>
      </c>
      <c r="O16" s="1">
        <f>ATTACKDAMAGE(IF(ISEVEN(COLUMN()),$B16,$C16),O$1,INT(IF('equipment-weapons'!$B16="TwoHandedRangedWeapon",RogueDexPerLvl,WarriorStrPerLvl)*O$1),CombatantLevelAttributeMod)</f>
        <v>20</v>
      </c>
      <c r="P16" s="1">
        <f>ATTACKDAMAGE(IF(ISEVEN(COLUMN()),$B16,$C16),P$1,INT(IF('equipment-weapons'!$B16="TwoHandedRangedWeapon",RogueDexPerLvl,WarriorStrPerLvl)*P$1),CombatantLevelAttributeMod)</f>
        <v>18</v>
      </c>
      <c r="Q16" s="1">
        <f>ATTACKDAMAGE(IF(ISEVEN(COLUMN()),$B16,$C16),Q$1,INT(IF('equipment-weapons'!$B16="TwoHandedRangedWeapon",RogueDexPerLvl,WarriorStrPerLvl)*Q$1),CombatantLevelAttributeMod)</f>
        <v>22</v>
      </c>
      <c r="R16" s="1">
        <f>ATTACKDAMAGE(IF(ISEVEN(COLUMN()),$B16,$C16),R$1,INT(IF('equipment-weapons'!$B16="TwoHandedRangedWeapon",RogueDexPerLvl,WarriorStrPerLvl)*R$1),CombatantLevelAttributeMod)</f>
        <v>22</v>
      </c>
      <c r="S16" s="1">
        <f>ATTACKDAMAGE(IF(ISEVEN(COLUMN()),$B16,$C16),S$1,INT(IF('equipment-weapons'!$B16="TwoHandedRangedWeapon",RogueDexPerLvl,WarriorStrPerLvl)*S$1),CombatantLevelAttributeMod)</f>
        <v>26</v>
      </c>
      <c r="T16" s="1">
        <f>ATTACKDAMAGE(IF(ISEVEN(COLUMN()),$B16,$C16),T$1,INT(IF('equipment-weapons'!$B16="TwoHandedRangedWeapon",RogueDexPerLvl,WarriorStrPerLvl)*T$1),CombatantLevelAttributeMod)</f>
        <v>24</v>
      </c>
      <c r="U16" s="1">
        <f>ATTACKDAMAGE(IF(ISEVEN(COLUMN()),$B16,$C16),U$1,INT(IF('equipment-weapons'!$B16="TwoHandedRangedWeapon",RogueDexPerLvl,WarriorStrPerLvl)*U$1),CombatantLevelAttributeMod)</f>
        <v>28</v>
      </c>
      <c r="V16" s="1">
        <f>ATTACKDAMAGE(IF(ISEVEN(COLUMN()),$B16,$C16),V$1,INT(IF('equipment-weapons'!$B16="TwoHandedRangedWeapon",RogueDexPerLvl,WarriorStrPerLvl)*V$1),CombatantLevelAttributeMod)</f>
        <v>28</v>
      </c>
      <c r="W16" s="1">
        <f>ATTACKDAMAGE(IF(ISEVEN(COLUMN()),$B16,$C16),W$1,INT(IF('equipment-weapons'!$B16="TwoHandedRangedWeapon",RogueDexPerLvl,WarriorStrPerLvl)*W$1),CombatantLevelAttributeMod)</f>
        <v>32</v>
      </c>
    </row>
    <row r="17" ht="13.5" customHeight="1" spans="1:23" x14ac:dyDescent="0.25">
      <c r="A17" s="3" t="str">
        <f>'equipment-weapons'!A17</f>
        <v>IceBlade</v>
      </c>
      <c r="B17" s="3">
        <f>'equipment-weapons'!F17</f>
        <v>2</v>
      </c>
      <c r="C17" s="3">
        <f>'equipment-weapons'!G17</f>
        <v>6</v>
      </c>
      <c r="D17" s="1">
        <f>ATTACKDAMAGE(IF(ISEVEN(COLUMN()),$B17,$C17),D$1,INT(IF('equipment-weapons'!$B17="TwoHandedRangedWeapon",RogueDexPerLvl,WarriorStrPerLvl)*D$1),CombatantLevelAttributeMod)</f>
        <v>3</v>
      </c>
      <c r="E17" s="1">
        <f>ATTACKDAMAGE(IF(ISEVEN(COLUMN()),$B17,$C17),E$1,INT(IF('equipment-weapons'!$B17="TwoHandedRangedWeapon",RogueDexPerLvl,WarriorStrPerLvl)*E$1),CombatantLevelAttributeMod)</f>
        <v>7</v>
      </c>
      <c r="F17" s="1">
        <f>ATTACKDAMAGE(IF(ISEVEN(COLUMN()),$B17,$C17),F$1,INT(IF('equipment-weapons'!$B17="TwoHandedRangedWeapon",RogueDexPerLvl,WarriorStrPerLvl)*F$1),CombatantLevelAttributeMod)</f>
        <v>4</v>
      </c>
      <c r="G17" s="1">
        <f>ATTACKDAMAGE(IF(ISEVEN(COLUMN()),$B17,$C17),G$1,INT(IF('equipment-weapons'!$B17="TwoHandedRangedWeapon",RogueDexPerLvl,WarriorStrPerLvl)*G$1),CombatantLevelAttributeMod)</f>
        <v>8</v>
      </c>
      <c r="H17" s="1">
        <f>ATTACKDAMAGE(IF(ISEVEN(COLUMN()),$B17,$C17),H$1,INT(IF('equipment-weapons'!$B17="TwoHandedRangedWeapon",RogueDexPerLvl,WarriorStrPerLvl)*H$1),CombatantLevelAttributeMod)</f>
        <v>6</v>
      </c>
      <c r="I17" s="1">
        <f>ATTACKDAMAGE(IF(ISEVEN(COLUMN()),$B17,$C17),I$1,INT(IF('equipment-weapons'!$B17="TwoHandedRangedWeapon",RogueDexPerLvl,WarriorStrPerLvl)*I$1),CombatantLevelAttributeMod)</f>
        <v>10</v>
      </c>
      <c r="J17" s="1">
        <f>ATTACKDAMAGE(IF(ISEVEN(COLUMN()),$B17,$C17),J$1,INT(IF('equipment-weapons'!$B17="TwoHandedRangedWeapon",RogueDexPerLvl,WarriorStrPerLvl)*J$1),CombatantLevelAttributeMod)</f>
        <v>8</v>
      </c>
      <c r="K17" s="1">
        <f>ATTACKDAMAGE(IF(ISEVEN(COLUMN()),$B17,$C17),K$1,INT(IF('equipment-weapons'!$B17="TwoHandedRangedWeapon",RogueDexPerLvl,WarriorStrPerLvl)*K$1),CombatantLevelAttributeMod)</f>
        <v>12</v>
      </c>
      <c r="L17" s="1">
        <f>ATTACKDAMAGE(IF(ISEVEN(COLUMN()),$B17,$C17),L$1,INT(IF('equipment-weapons'!$B17="TwoHandedRangedWeapon",RogueDexPerLvl,WarriorStrPerLvl)*L$1),CombatantLevelAttributeMod)</f>
        <v>10</v>
      </c>
      <c r="M17" s="1">
        <f>ATTACKDAMAGE(IF(ISEVEN(COLUMN()),$B17,$C17),M$1,INT(IF('equipment-weapons'!$B17="TwoHandedRangedWeapon",RogueDexPerLvl,WarriorStrPerLvl)*M$1),CombatantLevelAttributeMod)</f>
        <v>14</v>
      </c>
      <c r="N17" s="1">
        <f>ATTACKDAMAGE(IF(ISEVEN(COLUMN()),$B17,$C17),N$1,INT(IF('equipment-weapons'!$B17="TwoHandedRangedWeapon",RogueDexPerLvl,WarriorStrPerLvl)*N$1),CombatantLevelAttributeMod)</f>
        <v>12</v>
      </c>
      <c r="O17" s="1">
        <f>ATTACKDAMAGE(IF(ISEVEN(COLUMN()),$B17,$C17),O$1,INT(IF('equipment-weapons'!$B17="TwoHandedRangedWeapon",RogueDexPerLvl,WarriorStrPerLvl)*O$1),CombatantLevelAttributeMod)</f>
        <v>16</v>
      </c>
      <c r="P17" s="1">
        <f>ATTACKDAMAGE(IF(ISEVEN(COLUMN()),$B17,$C17),P$1,INT(IF('equipment-weapons'!$B17="TwoHandedRangedWeapon",RogueDexPerLvl,WarriorStrPerLvl)*P$1),CombatantLevelAttributeMod)</f>
        <v>14</v>
      </c>
      <c r="Q17" s="1">
        <f>ATTACKDAMAGE(IF(ISEVEN(COLUMN()),$B17,$C17),Q$1,INT(IF('equipment-weapons'!$B17="TwoHandedRangedWeapon",RogueDexPerLvl,WarriorStrPerLvl)*Q$1),CombatantLevelAttributeMod)</f>
        <v>18</v>
      </c>
      <c r="R17" s="1">
        <f>ATTACKDAMAGE(IF(ISEVEN(COLUMN()),$B17,$C17),R$1,INT(IF('equipment-weapons'!$B17="TwoHandedRangedWeapon",RogueDexPerLvl,WarriorStrPerLvl)*R$1),CombatantLevelAttributeMod)</f>
        <v>18</v>
      </c>
      <c r="S17" s="1">
        <f>ATTACKDAMAGE(IF(ISEVEN(COLUMN()),$B17,$C17),S$1,INT(IF('equipment-weapons'!$B17="TwoHandedRangedWeapon",RogueDexPerLvl,WarriorStrPerLvl)*S$1),CombatantLevelAttributeMod)</f>
        <v>22</v>
      </c>
      <c r="T17" s="1">
        <f>ATTACKDAMAGE(IF(ISEVEN(COLUMN()),$B17,$C17),T$1,INT(IF('equipment-weapons'!$B17="TwoHandedRangedWeapon",RogueDexPerLvl,WarriorStrPerLvl)*T$1),CombatantLevelAttributeMod)</f>
        <v>20</v>
      </c>
      <c r="U17" s="1">
        <f>ATTACKDAMAGE(IF(ISEVEN(COLUMN()),$B17,$C17),U$1,INT(IF('equipment-weapons'!$B17="TwoHandedRangedWeapon",RogueDexPerLvl,WarriorStrPerLvl)*U$1),CombatantLevelAttributeMod)</f>
        <v>24</v>
      </c>
      <c r="V17" s="1">
        <f>ATTACKDAMAGE(IF(ISEVEN(COLUMN()),$B17,$C17),V$1,INT(IF('equipment-weapons'!$B17="TwoHandedRangedWeapon",RogueDexPerLvl,WarriorStrPerLvl)*V$1),CombatantLevelAttributeMod)</f>
        <v>24</v>
      </c>
      <c r="W17" s="1">
        <f>ATTACKDAMAGE(IF(ISEVEN(COLUMN()),$B17,$C17),W$1,INT(IF('equipment-weapons'!$B17="TwoHandedRangedWeapon",RogueDexPerLvl,WarriorStrPerLvl)*W$1),CombatantLevelAttributeMod)</f>
        <v>28</v>
      </c>
    </row>
    <row r="18" ht="13.5" customHeight="1" spans="1:23" x14ac:dyDescent="0.25">
      <c r="A18" s="3" t="str">
        <f>'equipment-weapons'!A18</f>
        <v>MapleWand</v>
      </c>
      <c r="B18" s="3">
        <f>'equipment-weapons'!F18</f>
        <v>1</v>
      </c>
      <c r="C18" s="3">
        <f>'equipment-weapons'!G18</f>
        <v>8</v>
      </c>
      <c r="D18" s="1">
        <f>ATTACKDAMAGE(IF(ISEVEN(COLUMN()),$B18,$C18),D$1,INT(IF('equipment-weapons'!$B18="TwoHandedRangedWeapon",RogueDexPerLvl,WarriorStrPerLvl)*D$1),CombatantLevelAttributeMod)</f>
        <v>2</v>
      </c>
      <c r="E18" s="1">
        <f>ATTACKDAMAGE(IF(ISEVEN(COLUMN()),$B18,$C18),E$1,INT(IF('equipment-weapons'!$B18="TwoHandedRangedWeapon",RogueDexPerLvl,WarriorStrPerLvl)*E$1),CombatantLevelAttributeMod)</f>
        <v>9</v>
      </c>
      <c r="F18" s="1">
        <f>ATTACKDAMAGE(IF(ISEVEN(COLUMN()),$B18,$C18),F$1,INT(IF('equipment-weapons'!$B18="TwoHandedRangedWeapon",RogueDexPerLvl,WarriorStrPerLvl)*F$1),CombatantLevelAttributeMod)</f>
        <v>3</v>
      </c>
      <c r="G18" s="1">
        <f>ATTACKDAMAGE(IF(ISEVEN(COLUMN()),$B18,$C18),G$1,INT(IF('equipment-weapons'!$B18="TwoHandedRangedWeapon",RogueDexPerLvl,WarriorStrPerLvl)*G$1),CombatantLevelAttributeMod)</f>
        <v>10</v>
      </c>
      <c r="H18" s="1">
        <f>ATTACKDAMAGE(IF(ISEVEN(COLUMN()),$B18,$C18),H$1,INT(IF('equipment-weapons'!$B18="TwoHandedRangedWeapon",RogueDexPerLvl,WarriorStrPerLvl)*H$1),CombatantLevelAttributeMod)</f>
        <v>5</v>
      </c>
      <c r="I18" s="1">
        <f>ATTACKDAMAGE(IF(ISEVEN(COLUMN()),$B18,$C18),I$1,INT(IF('equipment-weapons'!$B18="TwoHandedRangedWeapon",RogueDexPerLvl,WarriorStrPerLvl)*I$1),CombatantLevelAttributeMod)</f>
        <v>12</v>
      </c>
      <c r="J18" s="1">
        <f>ATTACKDAMAGE(IF(ISEVEN(COLUMN()),$B18,$C18),J$1,INT(IF('equipment-weapons'!$B18="TwoHandedRangedWeapon",RogueDexPerLvl,WarriorStrPerLvl)*J$1),CombatantLevelAttributeMod)</f>
        <v>7</v>
      </c>
      <c r="K18" s="1">
        <f>ATTACKDAMAGE(IF(ISEVEN(COLUMN()),$B18,$C18),K$1,INT(IF('equipment-weapons'!$B18="TwoHandedRangedWeapon",RogueDexPerLvl,WarriorStrPerLvl)*K$1),CombatantLevelAttributeMod)</f>
        <v>14</v>
      </c>
      <c r="L18" s="1">
        <f>ATTACKDAMAGE(IF(ISEVEN(COLUMN()),$B18,$C18),L$1,INT(IF('equipment-weapons'!$B18="TwoHandedRangedWeapon",RogueDexPerLvl,WarriorStrPerLvl)*L$1),CombatantLevelAttributeMod)</f>
        <v>9</v>
      </c>
      <c r="M18" s="1">
        <f>ATTACKDAMAGE(IF(ISEVEN(COLUMN()),$B18,$C18),M$1,INT(IF('equipment-weapons'!$B18="TwoHandedRangedWeapon",RogueDexPerLvl,WarriorStrPerLvl)*M$1),CombatantLevelAttributeMod)</f>
        <v>16</v>
      </c>
      <c r="N18" s="1">
        <f>ATTACKDAMAGE(IF(ISEVEN(COLUMN()),$B18,$C18),N$1,INT(IF('equipment-weapons'!$B18="TwoHandedRangedWeapon",RogueDexPerLvl,WarriorStrPerLvl)*N$1),CombatantLevelAttributeMod)</f>
        <v>11</v>
      </c>
      <c r="O18" s="1">
        <f>ATTACKDAMAGE(IF(ISEVEN(COLUMN()),$B18,$C18),O$1,INT(IF('equipment-weapons'!$B18="TwoHandedRangedWeapon",RogueDexPerLvl,WarriorStrPerLvl)*O$1),CombatantLevelAttributeMod)</f>
        <v>18</v>
      </c>
      <c r="P18" s="1">
        <f>ATTACKDAMAGE(IF(ISEVEN(COLUMN()),$B18,$C18),P$1,INT(IF('equipment-weapons'!$B18="TwoHandedRangedWeapon",RogueDexPerLvl,WarriorStrPerLvl)*P$1),CombatantLevelAttributeMod)</f>
        <v>13</v>
      </c>
      <c r="Q18" s="1">
        <f>ATTACKDAMAGE(IF(ISEVEN(COLUMN()),$B18,$C18),Q$1,INT(IF('equipment-weapons'!$B18="TwoHandedRangedWeapon",RogueDexPerLvl,WarriorStrPerLvl)*Q$1),CombatantLevelAttributeMod)</f>
        <v>20</v>
      </c>
      <c r="R18" s="1">
        <f>ATTACKDAMAGE(IF(ISEVEN(COLUMN()),$B18,$C18),R$1,INT(IF('equipment-weapons'!$B18="TwoHandedRangedWeapon",RogueDexPerLvl,WarriorStrPerLvl)*R$1),CombatantLevelAttributeMod)</f>
        <v>17</v>
      </c>
      <c r="S18" s="1">
        <f>ATTACKDAMAGE(IF(ISEVEN(COLUMN()),$B18,$C18),S$1,INT(IF('equipment-weapons'!$B18="TwoHandedRangedWeapon",RogueDexPerLvl,WarriorStrPerLvl)*S$1),CombatantLevelAttributeMod)</f>
        <v>24</v>
      </c>
      <c r="T18" s="1">
        <f>ATTACKDAMAGE(IF(ISEVEN(COLUMN()),$B18,$C18),T$1,INT(IF('equipment-weapons'!$B18="TwoHandedRangedWeapon",RogueDexPerLvl,WarriorStrPerLvl)*T$1),CombatantLevelAttributeMod)</f>
        <v>19</v>
      </c>
      <c r="U18" s="1">
        <f>ATTACKDAMAGE(IF(ISEVEN(COLUMN()),$B18,$C18),U$1,INT(IF('equipment-weapons'!$B18="TwoHandedRangedWeapon",RogueDexPerLvl,WarriorStrPerLvl)*U$1),CombatantLevelAttributeMod)</f>
        <v>26</v>
      </c>
      <c r="V18" s="1">
        <f>ATTACKDAMAGE(IF(ISEVEN(COLUMN()),$B18,$C18),V$1,INT(IF('equipment-weapons'!$B18="TwoHandedRangedWeapon",RogueDexPerLvl,WarriorStrPerLvl)*V$1),CombatantLevelAttributeMod)</f>
        <v>23</v>
      </c>
      <c r="W18" s="1">
        <f>ATTACKDAMAGE(IF(ISEVEN(COLUMN()),$B18,$C18),W$1,INT(IF('equipment-weapons'!$B18="TwoHandedRangedWeapon",RogueDexPerLvl,WarriorStrPerLvl)*W$1),CombatantLevelAttributeMod)</f>
        <v>30</v>
      </c>
    </row>
    <row r="19" ht="13.5" customHeight="1" spans="1:23" x14ac:dyDescent="0.25">
      <c r="A19" s="3" t="str">
        <f>'equipment-weapons'!A19</f>
        <v>WillowWand</v>
      </c>
      <c r="B19" s="3">
        <f>'equipment-weapons'!F19</f>
        <v>2</v>
      </c>
      <c r="C19" s="3">
        <f>'equipment-weapons'!G19</f>
        <v>10</v>
      </c>
      <c r="D19" s="1">
        <f>ATTACKDAMAGE(IF(ISEVEN(COLUMN()),$B19,$C19),D$1,INT(IF('equipment-weapons'!$B19="TwoHandedRangedWeapon",RogueDexPerLvl,WarriorStrPerLvl)*D$1),CombatantLevelAttributeMod)</f>
        <v>3</v>
      </c>
      <c r="E19" s="1">
        <f>ATTACKDAMAGE(IF(ISEVEN(COLUMN()),$B19,$C19),E$1,INT(IF('equipment-weapons'!$B19="TwoHandedRangedWeapon",RogueDexPerLvl,WarriorStrPerLvl)*E$1),CombatantLevelAttributeMod)</f>
        <v>11</v>
      </c>
      <c r="F19" s="1">
        <f>ATTACKDAMAGE(IF(ISEVEN(COLUMN()),$B19,$C19),F$1,INT(IF('equipment-weapons'!$B19="TwoHandedRangedWeapon",RogueDexPerLvl,WarriorStrPerLvl)*F$1),CombatantLevelAttributeMod)</f>
        <v>4</v>
      </c>
      <c r="G19" s="1">
        <f>ATTACKDAMAGE(IF(ISEVEN(COLUMN()),$B19,$C19),G$1,INT(IF('equipment-weapons'!$B19="TwoHandedRangedWeapon",RogueDexPerLvl,WarriorStrPerLvl)*G$1),CombatantLevelAttributeMod)</f>
        <v>12</v>
      </c>
      <c r="H19" s="1">
        <f>ATTACKDAMAGE(IF(ISEVEN(COLUMN()),$B19,$C19),H$1,INT(IF('equipment-weapons'!$B19="TwoHandedRangedWeapon",RogueDexPerLvl,WarriorStrPerLvl)*H$1),CombatantLevelAttributeMod)</f>
        <v>6</v>
      </c>
      <c r="I19" s="1">
        <f>ATTACKDAMAGE(IF(ISEVEN(COLUMN()),$B19,$C19),I$1,INT(IF('equipment-weapons'!$B19="TwoHandedRangedWeapon",RogueDexPerLvl,WarriorStrPerLvl)*I$1),CombatantLevelAttributeMod)</f>
        <v>14</v>
      </c>
      <c r="J19" s="1">
        <f>ATTACKDAMAGE(IF(ISEVEN(COLUMN()),$B19,$C19),J$1,INT(IF('equipment-weapons'!$B19="TwoHandedRangedWeapon",RogueDexPerLvl,WarriorStrPerLvl)*J$1),CombatantLevelAttributeMod)</f>
        <v>8</v>
      </c>
      <c r="K19" s="1">
        <f>ATTACKDAMAGE(IF(ISEVEN(COLUMN()),$B19,$C19),K$1,INT(IF('equipment-weapons'!$B19="TwoHandedRangedWeapon",RogueDexPerLvl,WarriorStrPerLvl)*K$1),CombatantLevelAttributeMod)</f>
        <v>16</v>
      </c>
      <c r="L19" s="1">
        <f>ATTACKDAMAGE(IF(ISEVEN(COLUMN()),$B19,$C19),L$1,INT(IF('equipment-weapons'!$B19="TwoHandedRangedWeapon",RogueDexPerLvl,WarriorStrPerLvl)*L$1),CombatantLevelAttributeMod)</f>
        <v>10</v>
      </c>
      <c r="M19" s="1">
        <f>ATTACKDAMAGE(IF(ISEVEN(COLUMN()),$B19,$C19),M$1,INT(IF('equipment-weapons'!$B19="TwoHandedRangedWeapon",RogueDexPerLvl,WarriorStrPerLvl)*M$1),CombatantLevelAttributeMod)</f>
        <v>18</v>
      </c>
      <c r="N19" s="1">
        <f>ATTACKDAMAGE(IF(ISEVEN(COLUMN()),$B19,$C19),N$1,INT(IF('equipment-weapons'!$B19="TwoHandedRangedWeapon",RogueDexPerLvl,WarriorStrPerLvl)*N$1),CombatantLevelAttributeMod)</f>
        <v>12</v>
      </c>
      <c r="O19" s="1">
        <f>ATTACKDAMAGE(IF(ISEVEN(COLUMN()),$B19,$C19),O$1,INT(IF('equipment-weapons'!$B19="TwoHandedRangedWeapon",RogueDexPerLvl,WarriorStrPerLvl)*O$1),CombatantLevelAttributeMod)</f>
        <v>20</v>
      </c>
      <c r="P19" s="1">
        <f>ATTACKDAMAGE(IF(ISEVEN(COLUMN()),$B19,$C19),P$1,INT(IF('equipment-weapons'!$B19="TwoHandedRangedWeapon",RogueDexPerLvl,WarriorStrPerLvl)*P$1),CombatantLevelAttributeMod)</f>
        <v>14</v>
      </c>
      <c r="Q19" s="1">
        <f>ATTACKDAMAGE(IF(ISEVEN(COLUMN()),$B19,$C19),Q$1,INT(IF('equipment-weapons'!$B19="TwoHandedRangedWeapon",RogueDexPerLvl,WarriorStrPerLvl)*Q$1),CombatantLevelAttributeMod)</f>
        <v>22</v>
      </c>
      <c r="R19" s="1">
        <f>ATTACKDAMAGE(IF(ISEVEN(COLUMN()),$B19,$C19),R$1,INT(IF('equipment-weapons'!$B19="TwoHandedRangedWeapon",RogueDexPerLvl,WarriorStrPerLvl)*R$1),CombatantLevelAttributeMod)</f>
        <v>18</v>
      </c>
      <c r="S19" s="1">
        <f>ATTACKDAMAGE(IF(ISEVEN(COLUMN()),$B19,$C19),S$1,INT(IF('equipment-weapons'!$B19="TwoHandedRangedWeapon",RogueDexPerLvl,WarriorStrPerLvl)*S$1),CombatantLevelAttributeMod)</f>
        <v>26</v>
      </c>
      <c r="T19" s="1">
        <f>ATTACKDAMAGE(IF(ISEVEN(COLUMN()),$B19,$C19),T$1,INT(IF('equipment-weapons'!$B19="TwoHandedRangedWeapon",RogueDexPerLvl,WarriorStrPerLvl)*T$1),CombatantLevelAttributeMod)</f>
        <v>20</v>
      </c>
      <c r="U19" s="1">
        <f>ATTACKDAMAGE(IF(ISEVEN(COLUMN()),$B19,$C19),U$1,INT(IF('equipment-weapons'!$B19="TwoHandedRangedWeapon",RogueDexPerLvl,WarriorStrPerLvl)*U$1),CombatantLevelAttributeMod)</f>
        <v>28</v>
      </c>
      <c r="V19" s="1">
        <f>ATTACKDAMAGE(IF(ISEVEN(COLUMN()),$B19,$C19),V$1,INT(IF('equipment-weapons'!$B19="TwoHandedRangedWeapon",RogueDexPerLvl,WarriorStrPerLvl)*V$1),CombatantLevelAttributeMod)</f>
        <v>24</v>
      </c>
      <c r="W19" s="1">
        <f>ATTACKDAMAGE(IF(ISEVEN(COLUMN()),$B19,$C19),W$1,INT(IF('equipment-weapons'!$B19="TwoHandedRangedWeapon",RogueDexPerLvl,WarriorStrPerLvl)*W$1),CombatantLevelAttributeMod)</f>
        <v>32</v>
      </c>
    </row>
    <row r="20" ht="13.5" customHeight="1" spans="1:23" x14ac:dyDescent="0.25">
      <c r="A20" s="3" t="str">
        <f>'equipment-weapons'!A20</f>
        <v>YewWand</v>
      </c>
      <c r="B20" s="3">
        <f>'equipment-weapons'!F20</f>
        <v>3</v>
      </c>
      <c r="C20" s="3">
        <f>'equipment-weapons'!G20</f>
        <v>13</v>
      </c>
      <c r="D20" s="1">
        <f>ATTACKDAMAGE(IF(ISEVEN(COLUMN()),$B20,$C20),D$1,INT(IF('equipment-weapons'!$B20="TwoHandedRangedWeapon",RogueDexPerLvl,WarriorStrPerLvl)*D$1),CombatantLevelAttributeMod)</f>
        <v>4</v>
      </c>
      <c r="E20" s="1">
        <f>ATTACKDAMAGE(IF(ISEVEN(COLUMN()),$B20,$C20),E$1,INT(IF('equipment-weapons'!$B20="TwoHandedRangedWeapon",RogueDexPerLvl,WarriorStrPerLvl)*E$1),CombatantLevelAttributeMod)</f>
        <v>14</v>
      </c>
      <c r="F20" s="1">
        <f>ATTACKDAMAGE(IF(ISEVEN(COLUMN()),$B20,$C20),F$1,INT(IF('equipment-weapons'!$B20="TwoHandedRangedWeapon",RogueDexPerLvl,WarriorStrPerLvl)*F$1),CombatantLevelAttributeMod)</f>
        <v>5</v>
      </c>
      <c r="G20" s="1">
        <f>ATTACKDAMAGE(IF(ISEVEN(COLUMN()),$B20,$C20),G$1,INT(IF('equipment-weapons'!$B20="TwoHandedRangedWeapon",RogueDexPerLvl,WarriorStrPerLvl)*G$1),CombatantLevelAttributeMod)</f>
        <v>15</v>
      </c>
      <c r="H20" s="1">
        <f>ATTACKDAMAGE(IF(ISEVEN(COLUMN()),$B20,$C20),H$1,INT(IF('equipment-weapons'!$B20="TwoHandedRangedWeapon",RogueDexPerLvl,WarriorStrPerLvl)*H$1),CombatantLevelAttributeMod)</f>
        <v>7</v>
      </c>
      <c r="I20" s="1">
        <f>ATTACKDAMAGE(IF(ISEVEN(COLUMN()),$B20,$C20),I$1,INT(IF('equipment-weapons'!$B20="TwoHandedRangedWeapon",RogueDexPerLvl,WarriorStrPerLvl)*I$1),CombatantLevelAttributeMod)</f>
        <v>17</v>
      </c>
      <c r="J20" s="1">
        <f>ATTACKDAMAGE(IF(ISEVEN(COLUMN()),$B20,$C20),J$1,INT(IF('equipment-weapons'!$B20="TwoHandedRangedWeapon",RogueDexPerLvl,WarriorStrPerLvl)*J$1),CombatantLevelAttributeMod)</f>
        <v>9</v>
      </c>
      <c r="K20" s="1">
        <f>ATTACKDAMAGE(IF(ISEVEN(COLUMN()),$B20,$C20),K$1,INT(IF('equipment-weapons'!$B20="TwoHandedRangedWeapon",RogueDexPerLvl,WarriorStrPerLvl)*K$1),CombatantLevelAttributeMod)</f>
        <v>19</v>
      </c>
      <c r="L20" s="1">
        <f>ATTACKDAMAGE(IF(ISEVEN(COLUMN()),$B20,$C20),L$1,INT(IF('equipment-weapons'!$B20="TwoHandedRangedWeapon",RogueDexPerLvl,WarriorStrPerLvl)*L$1),CombatantLevelAttributeMod)</f>
        <v>11</v>
      </c>
      <c r="M20" s="1">
        <f>ATTACKDAMAGE(IF(ISEVEN(COLUMN()),$B20,$C20),M$1,INT(IF('equipment-weapons'!$B20="TwoHandedRangedWeapon",RogueDexPerLvl,WarriorStrPerLvl)*M$1),CombatantLevelAttributeMod)</f>
        <v>21</v>
      </c>
      <c r="N20" s="1">
        <f>ATTACKDAMAGE(IF(ISEVEN(COLUMN()),$B20,$C20),N$1,INT(IF('equipment-weapons'!$B20="TwoHandedRangedWeapon",RogueDexPerLvl,WarriorStrPerLvl)*N$1),CombatantLevelAttributeMod)</f>
        <v>13</v>
      </c>
      <c r="O20" s="1">
        <f>ATTACKDAMAGE(IF(ISEVEN(COLUMN()),$B20,$C20),O$1,INT(IF('equipment-weapons'!$B20="TwoHandedRangedWeapon",RogueDexPerLvl,WarriorStrPerLvl)*O$1),CombatantLevelAttributeMod)</f>
        <v>23</v>
      </c>
      <c r="P20" s="1">
        <f>ATTACKDAMAGE(IF(ISEVEN(COLUMN()),$B20,$C20),P$1,INT(IF('equipment-weapons'!$B20="TwoHandedRangedWeapon",RogueDexPerLvl,WarriorStrPerLvl)*P$1),CombatantLevelAttributeMod)</f>
        <v>15</v>
      </c>
      <c r="Q20" s="1">
        <f>ATTACKDAMAGE(IF(ISEVEN(COLUMN()),$B20,$C20),Q$1,INT(IF('equipment-weapons'!$B20="TwoHandedRangedWeapon",RogueDexPerLvl,WarriorStrPerLvl)*Q$1),CombatantLevelAttributeMod)</f>
        <v>25</v>
      </c>
      <c r="R20" s="1">
        <f>ATTACKDAMAGE(IF(ISEVEN(COLUMN()),$B20,$C20),R$1,INT(IF('equipment-weapons'!$B20="TwoHandedRangedWeapon",RogueDexPerLvl,WarriorStrPerLvl)*R$1),CombatantLevelAttributeMod)</f>
        <v>19</v>
      </c>
      <c r="S20" s="1">
        <f>ATTACKDAMAGE(IF(ISEVEN(COLUMN()),$B20,$C20),S$1,INT(IF('equipment-weapons'!$B20="TwoHandedRangedWeapon",RogueDexPerLvl,WarriorStrPerLvl)*S$1),CombatantLevelAttributeMod)</f>
        <v>29</v>
      </c>
      <c r="T20" s="1">
        <f>ATTACKDAMAGE(IF(ISEVEN(COLUMN()),$B20,$C20),T$1,INT(IF('equipment-weapons'!$B20="TwoHandedRangedWeapon",RogueDexPerLvl,WarriorStrPerLvl)*T$1),CombatantLevelAttributeMod)</f>
        <v>21</v>
      </c>
      <c r="U20" s="1">
        <f>ATTACKDAMAGE(IF(ISEVEN(COLUMN()),$B20,$C20),U$1,INT(IF('equipment-weapons'!$B20="TwoHandedRangedWeapon",RogueDexPerLvl,WarriorStrPerLvl)*U$1),CombatantLevelAttributeMod)</f>
        <v>31</v>
      </c>
      <c r="V20" s="1">
        <f>ATTACKDAMAGE(IF(ISEVEN(COLUMN()),$B20,$C20),V$1,INT(IF('equipment-weapons'!$B20="TwoHandedRangedWeapon",RogueDexPerLvl,WarriorStrPerLvl)*V$1),CombatantLevelAttributeMod)</f>
        <v>25</v>
      </c>
      <c r="W20" s="1">
        <f>ATTACKDAMAGE(IF(ISEVEN(COLUMN()),$B20,$C20),W$1,INT(IF('equipment-weapons'!$B20="TwoHandedRangedWeapon",RogueDexPerLvl,WarriorStrPerLvl)*W$1),CombatantLevelAttributeMod)</f>
        <v>35</v>
      </c>
    </row>
    <row r="21" ht="13.5" customHeight="1" spans="1:23" x14ac:dyDescent="0.25">
      <c r="A21" s="3" t="str">
        <f>'equipment-weapons'!A21</f>
        <v>RoseWand</v>
      </c>
      <c r="B21" s="3">
        <f>'equipment-weapons'!F21</f>
        <v>6</v>
      </c>
      <c r="C21" s="3">
        <f>'equipment-weapons'!G21</f>
        <v>16</v>
      </c>
      <c r="D21" s="1">
        <f>ATTACKDAMAGE(IF(ISEVEN(COLUMN()),$B21,$C21),D$1,INT(IF('equipment-weapons'!$B21="TwoHandedRangedWeapon",RogueDexPerLvl,WarriorStrPerLvl)*D$1),CombatantLevelAttributeMod)</f>
        <v>7</v>
      </c>
      <c r="E21" s="1">
        <f>ATTACKDAMAGE(IF(ISEVEN(COLUMN()),$B21,$C21),E$1,INT(IF('equipment-weapons'!$B21="TwoHandedRangedWeapon",RogueDexPerLvl,WarriorStrPerLvl)*E$1),CombatantLevelAttributeMod)</f>
        <v>17</v>
      </c>
      <c r="F21" s="1">
        <f>ATTACKDAMAGE(IF(ISEVEN(COLUMN()),$B21,$C21),F$1,INT(IF('equipment-weapons'!$B21="TwoHandedRangedWeapon",RogueDexPerLvl,WarriorStrPerLvl)*F$1),CombatantLevelAttributeMod)</f>
        <v>8</v>
      </c>
      <c r="G21" s="1">
        <f>ATTACKDAMAGE(IF(ISEVEN(COLUMN()),$B21,$C21),G$1,INT(IF('equipment-weapons'!$B21="TwoHandedRangedWeapon",RogueDexPerLvl,WarriorStrPerLvl)*G$1),CombatantLevelAttributeMod)</f>
        <v>18</v>
      </c>
      <c r="H21" s="1">
        <f>ATTACKDAMAGE(IF(ISEVEN(COLUMN()),$B21,$C21),H$1,INT(IF('equipment-weapons'!$B21="TwoHandedRangedWeapon",RogueDexPerLvl,WarriorStrPerLvl)*H$1),CombatantLevelAttributeMod)</f>
        <v>10</v>
      </c>
      <c r="I21" s="1">
        <f>ATTACKDAMAGE(IF(ISEVEN(COLUMN()),$B21,$C21),I$1,INT(IF('equipment-weapons'!$B21="TwoHandedRangedWeapon",RogueDexPerLvl,WarriorStrPerLvl)*I$1),CombatantLevelAttributeMod)</f>
        <v>20</v>
      </c>
      <c r="J21" s="1">
        <f>ATTACKDAMAGE(IF(ISEVEN(COLUMN()),$B21,$C21),J$1,INT(IF('equipment-weapons'!$B21="TwoHandedRangedWeapon",RogueDexPerLvl,WarriorStrPerLvl)*J$1),CombatantLevelAttributeMod)</f>
        <v>12</v>
      </c>
      <c r="K21" s="1">
        <f>ATTACKDAMAGE(IF(ISEVEN(COLUMN()),$B21,$C21),K$1,INT(IF('equipment-weapons'!$B21="TwoHandedRangedWeapon",RogueDexPerLvl,WarriorStrPerLvl)*K$1),CombatantLevelAttributeMod)</f>
        <v>22</v>
      </c>
      <c r="L21" s="1">
        <f>ATTACKDAMAGE(IF(ISEVEN(COLUMN()),$B21,$C21),L$1,INT(IF('equipment-weapons'!$B21="TwoHandedRangedWeapon",RogueDexPerLvl,WarriorStrPerLvl)*L$1),CombatantLevelAttributeMod)</f>
        <v>14</v>
      </c>
      <c r="M21" s="1">
        <f>ATTACKDAMAGE(IF(ISEVEN(COLUMN()),$B21,$C21),M$1,INT(IF('equipment-weapons'!$B21="TwoHandedRangedWeapon",RogueDexPerLvl,WarriorStrPerLvl)*M$1),CombatantLevelAttributeMod)</f>
        <v>24</v>
      </c>
      <c r="N21" s="1">
        <f>ATTACKDAMAGE(IF(ISEVEN(COLUMN()),$B21,$C21),N$1,INT(IF('equipment-weapons'!$B21="TwoHandedRangedWeapon",RogueDexPerLvl,WarriorStrPerLvl)*N$1),CombatantLevelAttributeMod)</f>
        <v>16</v>
      </c>
      <c r="O21" s="1">
        <f>ATTACKDAMAGE(IF(ISEVEN(COLUMN()),$B21,$C21),O$1,INT(IF('equipment-weapons'!$B21="TwoHandedRangedWeapon",RogueDexPerLvl,WarriorStrPerLvl)*O$1),CombatantLevelAttributeMod)</f>
        <v>26</v>
      </c>
      <c r="P21" s="1">
        <f>ATTACKDAMAGE(IF(ISEVEN(COLUMN()),$B21,$C21),P$1,INT(IF('equipment-weapons'!$B21="TwoHandedRangedWeapon",RogueDexPerLvl,WarriorStrPerLvl)*P$1),CombatantLevelAttributeMod)</f>
        <v>18</v>
      </c>
      <c r="Q21" s="1">
        <f>ATTACKDAMAGE(IF(ISEVEN(COLUMN()),$B21,$C21),Q$1,INT(IF('equipment-weapons'!$B21="TwoHandedRangedWeapon",RogueDexPerLvl,WarriorStrPerLvl)*Q$1),CombatantLevelAttributeMod)</f>
        <v>28</v>
      </c>
      <c r="R21" s="1">
        <f>ATTACKDAMAGE(IF(ISEVEN(COLUMN()),$B21,$C21),R$1,INT(IF('equipment-weapons'!$B21="TwoHandedRangedWeapon",RogueDexPerLvl,WarriorStrPerLvl)*R$1),CombatantLevelAttributeMod)</f>
        <v>22</v>
      </c>
      <c r="S21" s="1">
        <f>ATTACKDAMAGE(IF(ISEVEN(COLUMN()),$B21,$C21),S$1,INT(IF('equipment-weapons'!$B21="TwoHandedRangedWeapon",RogueDexPerLvl,WarriorStrPerLvl)*S$1),CombatantLevelAttributeMod)</f>
        <v>32</v>
      </c>
      <c r="T21" s="1">
        <f>ATTACKDAMAGE(IF(ISEVEN(COLUMN()),$B21,$C21),T$1,INT(IF('equipment-weapons'!$B21="TwoHandedRangedWeapon",RogueDexPerLvl,WarriorStrPerLvl)*T$1),CombatantLevelAttributeMod)</f>
        <v>24</v>
      </c>
      <c r="U21" s="1">
        <f>ATTACKDAMAGE(IF(ISEVEN(COLUMN()),$B21,$C21),U$1,INT(IF('equipment-weapons'!$B21="TwoHandedRangedWeapon",RogueDexPerLvl,WarriorStrPerLvl)*U$1),CombatantLevelAttributeMod)</f>
        <v>34</v>
      </c>
      <c r="V21" s="1">
        <f>ATTACKDAMAGE(IF(ISEVEN(COLUMN()),$B21,$C21),V$1,INT(IF('equipment-weapons'!$B21="TwoHandedRangedWeapon",RogueDexPerLvl,WarriorStrPerLvl)*V$1),CombatantLevelAttributeMod)</f>
        <v>28</v>
      </c>
      <c r="W21" s="1">
        <f>ATTACKDAMAGE(IF(ISEVEN(COLUMN()),$B21,$C21),W$1,INT(IF('equipment-weapons'!$B21="TwoHandedRangedWeapon",RogueDexPerLvl,WarriorStrPerLvl)*W$1),CombatantLevelAttributeMod)</f>
        <v>38</v>
      </c>
    </row>
    <row r="22" ht="13.5" customHeight="1" spans="1:23" x14ac:dyDescent="0.25">
      <c r="A22" s="3" t="str">
        <f>'equipment-weapons'!A22</f>
        <v>RottingBranch</v>
      </c>
      <c r="B22" s="3">
        <f>'equipment-weapons'!F22</f>
        <v>1</v>
      </c>
      <c r="C22" s="3">
        <f>'equipment-weapons'!G22</f>
        <v>7</v>
      </c>
      <c r="D22" s="1">
        <f>ATTACKDAMAGE(IF(ISEVEN(COLUMN()),$B22,$C22),D$1,INT(IF('equipment-weapons'!$B22="TwoHandedRangedWeapon",RogueDexPerLvl,WarriorStrPerLvl)*D$1),CombatantLevelAttributeMod)</f>
        <v>2</v>
      </c>
      <c r="E22" s="1">
        <f>ATTACKDAMAGE(IF(ISEVEN(COLUMN()),$B22,$C22),E$1,INT(IF('equipment-weapons'!$B22="TwoHandedRangedWeapon",RogueDexPerLvl,WarriorStrPerLvl)*E$1),CombatantLevelAttributeMod)</f>
        <v>8</v>
      </c>
      <c r="F22" s="1">
        <f>ATTACKDAMAGE(IF(ISEVEN(COLUMN()),$B22,$C22),F$1,INT(IF('equipment-weapons'!$B22="TwoHandedRangedWeapon",RogueDexPerLvl,WarriorStrPerLvl)*F$1),CombatantLevelAttributeMod)</f>
        <v>3</v>
      </c>
      <c r="G22" s="1">
        <f>ATTACKDAMAGE(IF(ISEVEN(COLUMN()),$B22,$C22),G$1,INT(IF('equipment-weapons'!$B22="TwoHandedRangedWeapon",RogueDexPerLvl,WarriorStrPerLvl)*G$1),CombatantLevelAttributeMod)</f>
        <v>9</v>
      </c>
      <c r="H22" s="1">
        <f>ATTACKDAMAGE(IF(ISEVEN(COLUMN()),$B22,$C22),H$1,INT(IF('equipment-weapons'!$B22="TwoHandedRangedWeapon",RogueDexPerLvl,WarriorStrPerLvl)*H$1),CombatantLevelAttributeMod)</f>
        <v>5</v>
      </c>
      <c r="I22" s="1">
        <f>ATTACKDAMAGE(IF(ISEVEN(COLUMN()),$B22,$C22),I$1,INT(IF('equipment-weapons'!$B22="TwoHandedRangedWeapon",RogueDexPerLvl,WarriorStrPerLvl)*I$1),CombatantLevelAttributeMod)</f>
        <v>11</v>
      </c>
      <c r="J22" s="1">
        <f>ATTACKDAMAGE(IF(ISEVEN(COLUMN()),$B22,$C22),J$1,INT(IF('equipment-weapons'!$B22="TwoHandedRangedWeapon",RogueDexPerLvl,WarriorStrPerLvl)*J$1),CombatantLevelAttributeMod)</f>
        <v>7</v>
      </c>
      <c r="K22" s="1">
        <f>ATTACKDAMAGE(IF(ISEVEN(COLUMN()),$B22,$C22),K$1,INT(IF('equipment-weapons'!$B22="TwoHandedRangedWeapon",RogueDexPerLvl,WarriorStrPerLvl)*K$1),CombatantLevelAttributeMod)</f>
        <v>13</v>
      </c>
      <c r="L22" s="1">
        <f>ATTACKDAMAGE(IF(ISEVEN(COLUMN()),$B22,$C22),L$1,INT(IF('equipment-weapons'!$B22="TwoHandedRangedWeapon",RogueDexPerLvl,WarriorStrPerLvl)*L$1),CombatantLevelAttributeMod)</f>
        <v>9</v>
      </c>
      <c r="M22" s="1">
        <f>ATTACKDAMAGE(IF(ISEVEN(COLUMN()),$B22,$C22),M$1,INT(IF('equipment-weapons'!$B22="TwoHandedRangedWeapon",RogueDexPerLvl,WarriorStrPerLvl)*M$1),CombatantLevelAttributeMod)</f>
        <v>15</v>
      </c>
      <c r="N22" s="1">
        <f>ATTACKDAMAGE(IF(ISEVEN(COLUMN()),$B22,$C22),N$1,INT(IF('equipment-weapons'!$B22="TwoHandedRangedWeapon",RogueDexPerLvl,WarriorStrPerLvl)*N$1),CombatantLevelAttributeMod)</f>
        <v>11</v>
      </c>
      <c r="O22" s="1">
        <f>ATTACKDAMAGE(IF(ISEVEN(COLUMN()),$B22,$C22),O$1,INT(IF('equipment-weapons'!$B22="TwoHandedRangedWeapon",RogueDexPerLvl,WarriorStrPerLvl)*O$1),CombatantLevelAttributeMod)</f>
        <v>17</v>
      </c>
      <c r="P22" s="1">
        <f>ATTACKDAMAGE(IF(ISEVEN(COLUMN()),$B22,$C22),P$1,INT(IF('equipment-weapons'!$B22="TwoHandedRangedWeapon",RogueDexPerLvl,WarriorStrPerLvl)*P$1),CombatantLevelAttributeMod)</f>
        <v>13</v>
      </c>
      <c r="Q22" s="1">
        <f>ATTACKDAMAGE(IF(ISEVEN(COLUMN()),$B22,$C22),Q$1,INT(IF('equipment-weapons'!$B22="TwoHandedRangedWeapon",RogueDexPerLvl,WarriorStrPerLvl)*Q$1),CombatantLevelAttributeMod)</f>
        <v>19</v>
      </c>
      <c r="R22" s="1">
        <f>ATTACKDAMAGE(IF(ISEVEN(COLUMN()),$B22,$C22),R$1,INT(IF('equipment-weapons'!$B22="TwoHandedRangedWeapon",RogueDexPerLvl,WarriorStrPerLvl)*R$1),CombatantLevelAttributeMod)</f>
        <v>17</v>
      </c>
      <c r="S22" s="1">
        <f>ATTACKDAMAGE(IF(ISEVEN(COLUMN()),$B22,$C22),S$1,INT(IF('equipment-weapons'!$B22="TwoHandedRangedWeapon",RogueDexPerLvl,WarriorStrPerLvl)*S$1),CombatantLevelAttributeMod)</f>
        <v>23</v>
      </c>
      <c r="T22" s="1">
        <f>ATTACKDAMAGE(IF(ISEVEN(COLUMN()),$B22,$C22),T$1,INT(IF('equipment-weapons'!$B22="TwoHandedRangedWeapon",RogueDexPerLvl,WarriorStrPerLvl)*T$1),CombatantLevelAttributeMod)</f>
        <v>19</v>
      </c>
      <c r="U22" s="1">
        <f>ATTACKDAMAGE(IF(ISEVEN(COLUMN()),$B22,$C22),U$1,INT(IF('equipment-weapons'!$B22="TwoHandedRangedWeapon",RogueDexPerLvl,WarriorStrPerLvl)*U$1),CombatantLevelAttributeMod)</f>
        <v>25</v>
      </c>
      <c r="V22" s="1">
        <f>ATTACKDAMAGE(IF(ISEVEN(COLUMN()),$B22,$C22),V$1,INT(IF('equipment-weapons'!$B22="TwoHandedRangedWeapon",RogueDexPerLvl,WarriorStrPerLvl)*V$1),CombatantLevelAttributeMod)</f>
        <v>23</v>
      </c>
      <c r="W22" s="1">
        <f>ATTACKDAMAGE(IF(ISEVEN(COLUMN()),$B22,$C22),W$1,INT(IF('equipment-weapons'!$B22="TwoHandedRangedWeapon",RogueDexPerLvl,WarriorStrPerLvl)*W$1),CombatantLevelAttributeMod)</f>
        <v>29</v>
      </c>
    </row>
    <row r="23" ht="13.5" customHeight="1" spans="1:23" x14ac:dyDescent="0.25">
      <c r="A23" s="3" t="str">
        <f>'equipment-weapons'!A23</f>
        <v>BoStaff</v>
      </c>
      <c r="B23" s="3">
        <f>'equipment-weapons'!F23</f>
        <v>2</v>
      </c>
      <c r="C23" s="3">
        <f>'equipment-weapons'!G23</f>
        <v>8</v>
      </c>
      <c r="D23" s="1">
        <f>ATTACKDAMAGE(IF(ISEVEN(COLUMN()),$B23,$C23),D$1,INT(IF('equipment-weapons'!$B23="TwoHandedRangedWeapon",RogueDexPerLvl,WarriorStrPerLvl)*D$1),CombatantLevelAttributeMod)</f>
        <v>3</v>
      </c>
      <c r="E23" s="1">
        <f>ATTACKDAMAGE(IF(ISEVEN(COLUMN()),$B23,$C23),E$1,INT(IF('equipment-weapons'!$B23="TwoHandedRangedWeapon",RogueDexPerLvl,WarriorStrPerLvl)*E$1),CombatantLevelAttributeMod)</f>
        <v>9</v>
      </c>
      <c r="F23" s="1">
        <f>ATTACKDAMAGE(IF(ISEVEN(COLUMN()),$B23,$C23),F$1,INT(IF('equipment-weapons'!$B23="TwoHandedRangedWeapon",RogueDexPerLvl,WarriorStrPerLvl)*F$1),CombatantLevelAttributeMod)</f>
        <v>4</v>
      </c>
      <c r="G23" s="1">
        <f>ATTACKDAMAGE(IF(ISEVEN(COLUMN()),$B23,$C23),G$1,INT(IF('equipment-weapons'!$B23="TwoHandedRangedWeapon",RogueDexPerLvl,WarriorStrPerLvl)*G$1),CombatantLevelAttributeMod)</f>
        <v>10</v>
      </c>
      <c r="H23" s="1">
        <f>ATTACKDAMAGE(IF(ISEVEN(COLUMN()),$B23,$C23),H$1,INT(IF('equipment-weapons'!$B23="TwoHandedRangedWeapon",RogueDexPerLvl,WarriorStrPerLvl)*H$1),CombatantLevelAttributeMod)</f>
        <v>6</v>
      </c>
      <c r="I23" s="1">
        <f>ATTACKDAMAGE(IF(ISEVEN(COLUMN()),$B23,$C23),I$1,INT(IF('equipment-weapons'!$B23="TwoHandedRangedWeapon",RogueDexPerLvl,WarriorStrPerLvl)*I$1),CombatantLevelAttributeMod)</f>
        <v>12</v>
      </c>
      <c r="J23" s="1">
        <f>ATTACKDAMAGE(IF(ISEVEN(COLUMN()),$B23,$C23),J$1,INT(IF('equipment-weapons'!$B23="TwoHandedRangedWeapon",RogueDexPerLvl,WarriorStrPerLvl)*J$1),CombatantLevelAttributeMod)</f>
        <v>8</v>
      </c>
      <c r="K23" s="1">
        <f>ATTACKDAMAGE(IF(ISEVEN(COLUMN()),$B23,$C23),K$1,INT(IF('equipment-weapons'!$B23="TwoHandedRangedWeapon",RogueDexPerLvl,WarriorStrPerLvl)*K$1),CombatantLevelAttributeMod)</f>
        <v>14</v>
      </c>
      <c r="L23" s="1">
        <f>ATTACKDAMAGE(IF(ISEVEN(COLUMN()),$B23,$C23),L$1,INT(IF('equipment-weapons'!$B23="TwoHandedRangedWeapon",RogueDexPerLvl,WarriorStrPerLvl)*L$1),CombatantLevelAttributeMod)</f>
        <v>10</v>
      </c>
      <c r="M23" s="1">
        <f>ATTACKDAMAGE(IF(ISEVEN(COLUMN()),$B23,$C23),M$1,INT(IF('equipment-weapons'!$B23="TwoHandedRangedWeapon",RogueDexPerLvl,WarriorStrPerLvl)*M$1),CombatantLevelAttributeMod)</f>
        <v>16</v>
      </c>
      <c r="N23" s="1">
        <f>ATTACKDAMAGE(IF(ISEVEN(COLUMN()),$B23,$C23),N$1,INT(IF('equipment-weapons'!$B23="TwoHandedRangedWeapon",RogueDexPerLvl,WarriorStrPerLvl)*N$1),CombatantLevelAttributeMod)</f>
        <v>12</v>
      </c>
      <c r="O23" s="1">
        <f>ATTACKDAMAGE(IF(ISEVEN(COLUMN()),$B23,$C23),O$1,INT(IF('equipment-weapons'!$B23="TwoHandedRangedWeapon",RogueDexPerLvl,WarriorStrPerLvl)*O$1),CombatantLevelAttributeMod)</f>
        <v>18</v>
      </c>
      <c r="P23" s="1">
        <f>ATTACKDAMAGE(IF(ISEVEN(COLUMN()),$B23,$C23),P$1,INT(IF('equipment-weapons'!$B23="TwoHandedRangedWeapon",RogueDexPerLvl,WarriorStrPerLvl)*P$1),CombatantLevelAttributeMod)</f>
        <v>14</v>
      </c>
      <c r="Q23" s="1">
        <f>ATTACKDAMAGE(IF(ISEVEN(COLUMN()),$B23,$C23),Q$1,INT(IF('equipment-weapons'!$B23="TwoHandedRangedWeapon",RogueDexPerLvl,WarriorStrPerLvl)*Q$1),CombatantLevelAttributeMod)</f>
        <v>20</v>
      </c>
      <c r="R23" s="1">
        <f>ATTACKDAMAGE(IF(ISEVEN(COLUMN()),$B23,$C23),R$1,INT(IF('equipment-weapons'!$B23="TwoHandedRangedWeapon",RogueDexPerLvl,WarriorStrPerLvl)*R$1),CombatantLevelAttributeMod)</f>
        <v>18</v>
      </c>
      <c r="S23" s="1">
        <f>ATTACKDAMAGE(IF(ISEVEN(COLUMN()),$B23,$C23),S$1,INT(IF('equipment-weapons'!$B23="TwoHandedRangedWeapon",RogueDexPerLvl,WarriorStrPerLvl)*S$1),CombatantLevelAttributeMod)</f>
        <v>24</v>
      </c>
      <c r="T23" s="1">
        <f>ATTACKDAMAGE(IF(ISEVEN(COLUMN()),$B23,$C23),T$1,INT(IF('equipment-weapons'!$B23="TwoHandedRangedWeapon",RogueDexPerLvl,WarriorStrPerLvl)*T$1),CombatantLevelAttributeMod)</f>
        <v>20</v>
      </c>
      <c r="U23" s="1">
        <f>ATTACKDAMAGE(IF(ISEVEN(COLUMN()),$B23,$C23),U$1,INT(IF('equipment-weapons'!$B23="TwoHandedRangedWeapon",RogueDexPerLvl,WarriorStrPerLvl)*U$1),CombatantLevelAttributeMod)</f>
        <v>26</v>
      </c>
      <c r="V23" s="1">
        <f>ATTACKDAMAGE(IF(ISEVEN(COLUMN()),$B23,$C23),V$1,INT(IF('equipment-weapons'!$B23="TwoHandedRangedWeapon",RogueDexPerLvl,WarriorStrPerLvl)*V$1),CombatantLevelAttributeMod)</f>
        <v>24</v>
      </c>
      <c r="W23" s="1">
        <f>ATTACKDAMAGE(IF(ISEVEN(COLUMN()),$B23,$C23),W$1,INT(IF('equipment-weapons'!$B23="TwoHandedRangedWeapon",RogueDexPerLvl,WarriorStrPerLvl)*W$1),CombatantLevelAttributeMod)</f>
        <v>30</v>
      </c>
    </row>
    <row r="24" ht="13.5" customHeight="1" spans="1:23" x14ac:dyDescent="0.25">
      <c r="A24" s="3" t="str">
        <f>'equipment-weapons'!A24</f>
        <v>Spear</v>
      </c>
      <c r="B24" s="3">
        <f>'equipment-weapons'!F24</f>
        <v>3</v>
      </c>
      <c r="C24" s="3">
        <f>'equipment-weapons'!G24</f>
        <v>9</v>
      </c>
      <c r="D24" s="1">
        <f>ATTACKDAMAGE(IF(ISEVEN(COLUMN()),$B24,$C24),D$1,INT(IF('equipment-weapons'!$B24="TwoHandedRangedWeapon",RogueDexPerLvl,WarriorStrPerLvl)*D$1),CombatantLevelAttributeMod)</f>
        <v>4</v>
      </c>
      <c r="E24" s="1">
        <f>ATTACKDAMAGE(IF(ISEVEN(COLUMN()),$B24,$C24),E$1,INT(IF('equipment-weapons'!$B24="TwoHandedRangedWeapon",RogueDexPerLvl,WarriorStrPerLvl)*E$1),CombatantLevelAttributeMod)</f>
        <v>10</v>
      </c>
      <c r="F24" s="1">
        <f>ATTACKDAMAGE(IF(ISEVEN(COLUMN()),$B24,$C24),F$1,INT(IF('equipment-weapons'!$B24="TwoHandedRangedWeapon",RogueDexPerLvl,WarriorStrPerLvl)*F$1),CombatantLevelAttributeMod)</f>
        <v>5</v>
      </c>
      <c r="G24" s="1">
        <f>ATTACKDAMAGE(IF(ISEVEN(COLUMN()),$B24,$C24),G$1,INT(IF('equipment-weapons'!$B24="TwoHandedRangedWeapon",RogueDexPerLvl,WarriorStrPerLvl)*G$1),CombatantLevelAttributeMod)</f>
        <v>11</v>
      </c>
      <c r="H24" s="1">
        <f>ATTACKDAMAGE(IF(ISEVEN(COLUMN()),$B24,$C24),H$1,INT(IF('equipment-weapons'!$B24="TwoHandedRangedWeapon",RogueDexPerLvl,WarriorStrPerLvl)*H$1),CombatantLevelAttributeMod)</f>
        <v>7</v>
      </c>
      <c r="I24" s="1">
        <f>ATTACKDAMAGE(IF(ISEVEN(COLUMN()),$B24,$C24),I$1,INT(IF('equipment-weapons'!$B24="TwoHandedRangedWeapon",RogueDexPerLvl,WarriorStrPerLvl)*I$1),CombatantLevelAttributeMod)</f>
        <v>13</v>
      </c>
      <c r="J24" s="1">
        <f>ATTACKDAMAGE(IF(ISEVEN(COLUMN()),$B24,$C24),J$1,INT(IF('equipment-weapons'!$B24="TwoHandedRangedWeapon",RogueDexPerLvl,WarriorStrPerLvl)*J$1),CombatantLevelAttributeMod)</f>
        <v>9</v>
      </c>
      <c r="K24" s="1">
        <f>ATTACKDAMAGE(IF(ISEVEN(COLUMN()),$B24,$C24),K$1,INT(IF('equipment-weapons'!$B24="TwoHandedRangedWeapon",RogueDexPerLvl,WarriorStrPerLvl)*K$1),CombatantLevelAttributeMod)</f>
        <v>15</v>
      </c>
      <c r="L24" s="1">
        <f>ATTACKDAMAGE(IF(ISEVEN(COLUMN()),$B24,$C24),L$1,INT(IF('equipment-weapons'!$B24="TwoHandedRangedWeapon",RogueDexPerLvl,WarriorStrPerLvl)*L$1),CombatantLevelAttributeMod)</f>
        <v>11</v>
      </c>
      <c r="M24" s="1">
        <f>ATTACKDAMAGE(IF(ISEVEN(COLUMN()),$B24,$C24),M$1,INT(IF('equipment-weapons'!$B24="TwoHandedRangedWeapon",RogueDexPerLvl,WarriorStrPerLvl)*M$1),CombatantLevelAttributeMod)</f>
        <v>17</v>
      </c>
      <c r="N24" s="1">
        <f>ATTACKDAMAGE(IF(ISEVEN(COLUMN()),$B24,$C24),N$1,INT(IF('equipment-weapons'!$B24="TwoHandedRangedWeapon",RogueDexPerLvl,WarriorStrPerLvl)*N$1),CombatantLevelAttributeMod)</f>
        <v>13</v>
      </c>
      <c r="O24" s="1">
        <f>ATTACKDAMAGE(IF(ISEVEN(COLUMN()),$B24,$C24),O$1,INT(IF('equipment-weapons'!$B24="TwoHandedRangedWeapon",RogueDexPerLvl,WarriorStrPerLvl)*O$1),CombatantLevelAttributeMod)</f>
        <v>19</v>
      </c>
      <c r="P24" s="1">
        <f>ATTACKDAMAGE(IF(ISEVEN(COLUMN()),$B24,$C24),P$1,INT(IF('equipment-weapons'!$B24="TwoHandedRangedWeapon",RogueDexPerLvl,WarriorStrPerLvl)*P$1),CombatantLevelAttributeMod)</f>
        <v>15</v>
      </c>
      <c r="Q24" s="1">
        <f>ATTACKDAMAGE(IF(ISEVEN(COLUMN()),$B24,$C24),Q$1,INT(IF('equipment-weapons'!$B24="TwoHandedRangedWeapon",RogueDexPerLvl,WarriorStrPerLvl)*Q$1),CombatantLevelAttributeMod)</f>
        <v>21</v>
      </c>
      <c r="R24" s="1">
        <f>ATTACKDAMAGE(IF(ISEVEN(COLUMN()),$B24,$C24),R$1,INT(IF('equipment-weapons'!$B24="TwoHandedRangedWeapon",RogueDexPerLvl,WarriorStrPerLvl)*R$1),CombatantLevelAttributeMod)</f>
        <v>19</v>
      </c>
      <c r="S24" s="1">
        <f>ATTACKDAMAGE(IF(ISEVEN(COLUMN()),$B24,$C24),S$1,INT(IF('equipment-weapons'!$B24="TwoHandedRangedWeapon",RogueDexPerLvl,WarriorStrPerLvl)*S$1),CombatantLevelAttributeMod)</f>
        <v>25</v>
      </c>
      <c r="T24" s="1">
        <f>ATTACKDAMAGE(IF(ISEVEN(COLUMN()),$B24,$C24),T$1,INT(IF('equipment-weapons'!$B24="TwoHandedRangedWeapon",RogueDexPerLvl,WarriorStrPerLvl)*T$1),CombatantLevelAttributeMod)</f>
        <v>21</v>
      </c>
      <c r="U24" s="1">
        <f>ATTACKDAMAGE(IF(ISEVEN(COLUMN()),$B24,$C24),U$1,INT(IF('equipment-weapons'!$B24="TwoHandedRangedWeapon",RogueDexPerLvl,WarriorStrPerLvl)*U$1),CombatantLevelAttributeMod)</f>
        <v>27</v>
      </c>
      <c r="V24" s="1">
        <f>ATTACKDAMAGE(IF(ISEVEN(COLUMN()),$B24,$C24),V$1,INT(IF('equipment-weapons'!$B24="TwoHandedRangedWeapon",RogueDexPerLvl,WarriorStrPerLvl)*V$1),CombatantLevelAttributeMod)</f>
        <v>25</v>
      </c>
      <c r="W24" s="1">
        <f>ATTACKDAMAGE(IF(ISEVEN(COLUMN()),$B24,$C24),W$1,INT(IF('equipment-weapons'!$B24="TwoHandedRangedWeapon",RogueDexPerLvl,WarriorStrPerLvl)*W$1),CombatantLevelAttributeMod)</f>
        <v>31</v>
      </c>
    </row>
    <row r="25" ht="13.5" customHeight="1" spans="1:23" x14ac:dyDescent="0.25">
      <c r="A25" s="3" t="str">
        <f>'equipment-weapons'!A25</f>
        <v>Bardiche</v>
      </c>
      <c r="B25" s="3">
        <f>'equipment-weapons'!F25</f>
        <v>1</v>
      </c>
      <c r="C25" s="3">
        <f>'equipment-weapons'!G25</f>
        <v>11</v>
      </c>
      <c r="D25" s="1">
        <f>ATTACKDAMAGE(IF(ISEVEN(COLUMN()),$B25,$C25),D$1,INT(IF('equipment-weapons'!$B25="TwoHandedRangedWeapon",RogueDexPerLvl,WarriorStrPerLvl)*D$1),CombatantLevelAttributeMod)</f>
        <v>2</v>
      </c>
      <c r="E25" s="1">
        <f>ATTACKDAMAGE(IF(ISEVEN(COLUMN()),$B25,$C25),E$1,INT(IF('equipment-weapons'!$B25="TwoHandedRangedWeapon",RogueDexPerLvl,WarriorStrPerLvl)*E$1),CombatantLevelAttributeMod)</f>
        <v>12</v>
      </c>
      <c r="F25" s="1">
        <f>ATTACKDAMAGE(IF(ISEVEN(COLUMN()),$B25,$C25),F$1,INT(IF('equipment-weapons'!$B25="TwoHandedRangedWeapon",RogueDexPerLvl,WarriorStrPerLvl)*F$1),CombatantLevelAttributeMod)</f>
        <v>3</v>
      </c>
      <c r="G25" s="1">
        <f>ATTACKDAMAGE(IF(ISEVEN(COLUMN()),$B25,$C25),G$1,INT(IF('equipment-weapons'!$B25="TwoHandedRangedWeapon",RogueDexPerLvl,WarriorStrPerLvl)*G$1),CombatantLevelAttributeMod)</f>
        <v>13</v>
      </c>
      <c r="H25" s="1">
        <f>ATTACKDAMAGE(IF(ISEVEN(COLUMN()),$B25,$C25),H$1,INT(IF('equipment-weapons'!$B25="TwoHandedRangedWeapon",RogueDexPerLvl,WarriorStrPerLvl)*H$1),CombatantLevelAttributeMod)</f>
        <v>5</v>
      </c>
      <c r="I25" s="1">
        <f>ATTACKDAMAGE(IF(ISEVEN(COLUMN()),$B25,$C25),I$1,INT(IF('equipment-weapons'!$B25="TwoHandedRangedWeapon",RogueDexPerLvl,WarriorStrPerLvl)*I$1),CombatantLevelAttributeMod)</f>
        <v>15</v>
      </c>
      <c r="J25" s="1">
        <f>ATTACKDAMAGE(IF(ISEVEN(COLUMN()),$B25,$C25),J$1,INT(IF('equipment-weapons'!$B25="TwoHandedRangedWeapon",RogueDexPerLvl,WarriorStrPerLvl)*J$1),CombatantLevelAttributeMod)</f>
        <v>7</v>
      </c>
      <c r="K25" s="1">
        <f>ATTACKDAMAGE(IF(ISEVEN(COLUMN()),$B25,$C25),K$1,INT(IF('equipment-weapons'!$B25="TwoHandedRangedWeapon",RogueDexPerLvl,WarriorStrPerLvl)*K$1),CombatantLevelAttributeMod)</f>
        <v>17</v>
      </c>
      <c r="L25" s="1">
        <f>ATTACKDAMAGE(IF(ISEVEN(COLUMN()),$B25,$C25),L$1,INT(IF('equipment-weapons'!$B25="TwoHandedRangedWeapon",RogueDexPerLvl,WarriorStrPerLvl)*L$1),CombatantLevelAttributeMod)</f>
        <v>9</v>
      </c>
      <c r="M25" s="1">
        <f>ATTACKDAMAGE(IF(ISEVEN(COLUMN()),$B25,$C25),M$1,INT(IF('equipment-weapons'!$B25="TwoHandedRangedWeapon",RogueDexPerLvl,WarriorStrPerLvl)*M$1),CombatantLevelAttributeMod)</f>
        <v>19</v>
      </c>
      <c r="N25" s="1">
        <f>ATTACKDAMAGE(IF(ISEVEN(COLUMN()),$B25,$C25),N$1,INT(IF('equipment-weapons'!$B25="TwoHandedRangedWeapon",RogueDexPerLvl,WarriorStrPerLvl)*N$1),CombatantLevelAttributeMod)</f>
        <v>11</v>
      </c>
      <c r="O25" s="1">
        <f>ATTACKDAMAGE(IF(ISEVEN(COLUMN()),$B25,$C25),O$1,INT(IF('equipment-weapons'!$B25="TwoHandedRangedWeapon",RogueDexPerLvl,WarriorStrPerLvl)*O$1),CombatantLevelAttributeMod)</f>
        <v>21</v>
      </c>
      <c r="P25" s="1">
        <f>ATTACKDAMAGE(IF(ISEVEN(COLUMN()),$B25,$C25),P$1,INT(IF('equipment-weapons'!$B25="TwoHandedRangedWeapon",RogueDexPerLvl,WarriorStrPerLvl)*P$1),CombatantLevelAttributeMod)</f>
        <v>13</v>
      </c>
      <c r="Q25" s="1">
        <f>ATTACKDAMAGE(IF(ISEVEN(COLUMN()),$B25,$C25),Q$1,INT(IF('equipment-weapons'!$B25="TwoHandedRangedWeapon",RogueDexPerLvl,WarriorStrPerLvl)*Q$1),CombatantLevelAttributeMod)</f>
        <v>23</v>
      </c>
      <c r="R25" s="1">
        <f>ATTACKDAMAGE(IF(ISEVEN(COLUMN()),$B25,$C25),R$1,INT(IF('equipment-weapons'!$B25="TwoHandedRangedWeapon",RogueDexPerLvl,WarriorStrPerLvl)*R$1),CombatantLevelAttributeMod)</f>
        <v>17</v>
      </c>
      <c r="S25" s="1">
        <f>ATTACKDAMAGE(IF(ISEVEN(COLUMN()),$B25,$C25),S$1,INT(IF('equipment-weapons'!$B25="TwoHandedRangedWeapon",RogueDexPerLvl,WarriorStrPerLvl)*S$1),CombatantLevelAttributeMod)</f>
        <v>27</v>
      </c>
      <c r="T25" s="1">
        <f>ATTACKDAMAGE(IF(ISEVEN(COLUMN()),$B25,$C25),T$1,INT(IF('equipment-weapons'!$B25="TwoHandedRangedWeapon",RogueDexPerLvl,WarriorStrPerLvl)*T$1),CombatantLevelAttributeMod)</f>
        <v>19</v>
      </c>
      <c r="U25" s="1">
        <f>ATTACKDAMAGE(IF(ISEVEN(COLUMN()),$B25,$C25),U$1,INT(IF('equipment-weapons'!$B25="TwoHandedRangedWeapon",RogueDexPerLvl,WarriorStrPerLvl)*U$1),CombatantLevelAttributeMod)</f>
        <v>29</v>
      </c>
      <c r="V25" s="1">
        <f>ATTACKDAMAGE(IF(ISEVEN(COLUMN()),$B25,$C25),V$1,INT(IF('equipment-weapons'!$B25="TwoHandedRangedWeapon",RogueDexPerLvl,WarriorStrPerLvl)*V$1),CombatantLevelAttributeMod)</f>
        <v>23</v>
      </c>
      <c r="W25" s="1">
        <f>ATTACKDAMAGE(IF(ISEVEN(COLUMN()),$B25,$C25),W$1,INT(IF('equipment-weapons'!$B25="TwoHandedRangedWeapon",RogueDexPerLvl,WarriorStrPerLvl)*W$1),CombatantLevelAttributeMod)</f>
        <v>33</v>
      </c>
    </row>
    <row r="26" ht="13.5" customHeight="1" spans="1:23" x14ac:dyDescent="0.25">
      <c r="A26" s="3" t="str">
        <f>'equipment-weapons'!A26</f>
        <v>SplittingMaul</v>
      </c>
      <c r="B26" s="3">
        <f>'equipment-weapons'!F26</f>
        <v>6</v>
      </c>
      <c r="C26" s="3">
        <f>'equipment-weapons'!G26</f>
        <v>12</v>
      </c>
      <c r="D26" s="1">
        <f>ATTACKDAMAGE(IF(ISEVEN(COLUMN()),$B26,$C26),D$1,INT(IF('equipment-weapons'!$B26="TwoHandedRangedWeapon",RogueDexPerLvl,WarriorStrPerLvl)*D$1),CombatantLevelAttributeMod)</f>
        <v>7</v>
      </c>
      <c r="E26" s="1">
        <f>ATTACKDAMAGE(IF(ISEVEN(COLUMN()),$B26,$C26),E$1,INT(IF('equipment-weapons'!$B26="TwoHandedRangedWeapon",RogueDexPerLvl,WarriorStrPerLvl)*E$1),CombatantLevelAttributeMod)</f>
        <v>13</v>
      </c>
      <c r="F26" s="1">
        <f>ATTACKDAMAGE(IF(ISEVEN(COLUMN()),$B26,$C26),F$1,INT(IF('equipment-weapons'!$B26="TwoHandedRangedWeapon",RogueDexPerLvl,WarriorStrPerLvl)*F$1),CombatantLevelAttributeMod)</f>
        <v>8</v>
      </c>
      <c r="G26" s="1">
        <f>ATTACKDAMAGE(IF(ISEVEN(COLUMN()),$B26,$C26),G$1,INT(IF('equipment-weapons'!$B26="TwoHandedRangedWeapon",RogueDexPerLvl,WarriorStrPerLvl)*G$1),CombatantLevelAttributeMod)</f>
        <v>14</v>
      </c>
      <c r="H26" s="1">
        <f>ATTACKDAMAGE(IF(ISEVEN(COLUMN()),$B26,$C26),H$1,INT(IF('equipment-weapons'!$B26="TwoHandedRangedWeapon",RogueDexPerLvl,WarriorStrPerLvl)*H$1),CombatantLevelAttributeMod)</f>
        <v>10</v>
      </c>
      <c r="I26" s="1">
        <f>ATTACKDAMAGE(IF(ISEVEN(COLUMN()),$B26,$C26),I$1,INT(IF('equipment-weapons'!$B26="TwoHandedRangedWeapon",RogueDexPerLvl,WarriorStrPerLvl)*I$1),CombatantLevelAttributeMod)</f>
        <v>16</v>
      </c>
      <c r="J26" s="1">
        <f>ATTACKDAMAGE(IF(ISEVEN(COLUMN()),$B26,$C26),J$1,INT(IF('equipment-weapons'!$B26="TwoHandedRangedWeapon",RogueDexPerLvl,WarriorStrPerLvl)*J$1),CombatantLevelAttributeMod)</f>
        <v>12</v>
      </c>
      <c r="K26" s="1">
        <f>ATTACKDAMAGE(IF(ISEVEN(COLUMN()),$B26,$C26),K$1,INT(IF('equipment-weapons'!$B26="TwoHandedRangedWeapon",RogueDexPerLvl,WarriorStrPerLvl)*K$1),CombatantLevelAttributeMod)</f>
        <v>18</v>
      </c>
      <c r="L26" s="1">
        <f>ATTACKDAMAGE(IF(ISEVEN(COLUMN()),$B26,$C26),L$1,INT(IF('equipment-weapons'!$B26="TwoHandedRangedWeapon",RogueDexPerLvl,WarriorStrPerLvl)*L$1),CombatantLevelAttributeMod)</f>
        <v>14</v>
      </c>
      <c r="M26" s="1">
        <f>ATTACKDAMAGE(IF(ISEVEN(COLUMN()),$B26,$C26),M$1,INT(IF('equipment-weapons'!$B26="TwoHandedRangedWeapon",RogueDexPerLvl,WarriorStrPerLvl)*M$1),CombatantLevelAttributeMod)</f>
        <v>20</v>
      </c>
      <c r="N26" s="1">
        <f>ATTACKDAMAGE(IF(ISEVEN(COLUMN()),$B26,$C26),N$1,INT(IF('equipment-weapons'!$B26="TwoHandedRangedWeapon",RogueDexPerLvl,WarriorStrPerLvl)*N$1),CombatantLevelAttributeMod)</f>
        <v>16</v>
      </c>
      <c r="O26" s="1">
        <f>ATTACKDAMAGE(IF(ISEVEN(COLUMN()),$B26,$C26),O$1,INT(IF('equipment-weapons'!$B26="TwoHandedRangedWeapon",RogueDexPerLvl,WarriorStrPerLvl)*O$1),CombatantLevelAttributeMod)</f>
        <v>22</v>
      </c>
      <c r="P26" s="1">
        <f>ATTACKDAMAGE(IF(ISEVEN(COLUMN()),$B26,$C26),P$1,INT(IF('equipment-weapons'!$B26="TwoHandedRangedWeapon",RogueDexPerLvl,WarriorStrPerLvl)*P$1),CombatantLevelAttributeMod)</f>
        <v>18</v>
      </c>
      <c r="Q26" s="1">
        <f>ATTACKDAMAGE(IF(ISEVEN(COLUMN()),$B26,$C26),Q$1,INT(IF('equipment-weapons'!$B26="TwoHandedRangedWeapon",RogueDexPerLvl,WarriorStrPerLvl)*Q$1),CombatantLevelAttributeMod)</f>
        <v>24</v>
      </c>
      <c r="R26" s="1">
        <f>ATTACKDAMAGE(IF(ISEVEN(COLUMN()),$B26,$C26),R$1,INT(IF('equipment-weapons'!$B26="TwoHandedRangedWeapon",RogueDexPerLvl,WarriorStrPerLvl)*R$1),CombatantLevelAttributeMod)</f>
        <v>22</v>
      </c>
      <c r="S26" s="1">
        <f>ATTACKDAMAGE(IF(ISEVEN(COLUMN()),$B26,$C26),S$1,INT(IF('equipment-weapons'!$B26="TwoHandedRangedWeapon",RogueDexPerLvl,WarriorStrPerLvl)*S$1),CombatantLevelAttributeMod)</f>
        <v>28</v>
      </c>
      <c r="T26" s="1">
        <f>ATTACKDAMAGE(IF(ISEVEN(COLUMN()),$B26,$C26),T$1,INT(IF('equipment-weapons'!$B26="TwoHandedRangedWeapon",RogueDexPerLvl,WarriorStrPerLvl)*T$1),CombatantLevelAttributeMod)</f>
        <v>24</v>
      </c>
      <c r="U26" s="1">
        <f>ATTACKDAMAGE(IF(ISEVEN(COLUMN()),$B26,$C26),U$1,INT(IF('equipment-weapons'!$B26="TwoHandedRangedWeapon",RogueDexPerLvl,WarriorStrPerLvl)*U$1),CombatantLevelAttributeMod)</f>
        <v>30</v>
      </c>
      <c r="V26" s="1">
        <f>ATTACKDAMAGE(IF(ISEVEN(COLUMN()),$B26,$C26),V$1,INT(IF('equipment-weapons'!$B26="TwoHandedRangedWeapon",RogueDexPerLvl,WarriorStrPerLvl)*V$1),CombatantLevelAttributeMod)</f>
        <v>28</v>
      </c>
      <c r="W26" s="1">
        <f>ATTACKDAMAGE(IF(ISEVEN(COLUMN()),$B26,$C26),W$1,INT(IF('equipment-weapons'!$B26="TwoHandedRangedWeapon",RogueDexPerLvl,WarriorStrPerLvl)*W$1),CombatantLevelAttributeMod)</f>
        <v>34</v>
      </c>
    </row>
    <row r="27" ht="13.5" customHeight="1" spans="1:23" x14ac:dyDescent="0.25">
      <c r="A27" s="3" t="str">
        <f>'equipment-weapons'!A27</f>
        <v>Maul</v>
      </c>
      <c r="B27" s="3">
        <f>'equipment-weapons'!F27</f>
        <v>9</v>
      </c>
      <c r="C27" s="3">
        <f>'equipment-weapons'!G27</f>
        <v>14</v>
      </c>
      <c r="D27" s="1">
        <f>ATTACKDAMAGE(IF(ISEVEN(COLUMN()),$B27,$C27),D$1,INT(IF('equipment-weapons'!$B27="TwoHandedRangedWeapon",RogueDexPerLvl,WarriorStrPerLvl)*D$1),CombatantLevelAttributeMod)</f>
        <v>10</v>
      </c>
      <c r="E27" s="1">
        <f>ATTACKDAMAGE(IF(ISEVEN(COLUMN()),$B27,$C27),E$1,INT(IF('equipment-weapons'!$B27="TwoHandedRangedWeapon",RogueDexPerLvl,WarriorStrPerLvl)*E$1),CombatantLevelAttributeMod)</f>
        <v>15</v>
      </c>
      <c r="F27" s="1">
        <f>ATTACKDAMAGE(IF(ISEVEN(COLUMN()),$B27,$C27),F$1,INT(IF('equipment-weapons'!$B27="TwoHandedRangedWeapon",RogueDexPerLvl,WarriorStrPerLvl)*F$1),CombatantLevelAttributeMod)</f>
        <v>11</v>
      </c>
      <c r="G27" s="1">
        <f>ATTACKDAMAGE(IF(ISEVEN(COLUMN()),$B27,$C27),G$1,INT(IF('equipment-weapons'!$B27="TwoHandedRangedWeapon",RogueDexPerLvl,WarriorStrPerLvl)*G$1),CombatantLevelAttributeMod)</f>
        <v>16</v>
      </c>
      <c r="H27" s="1">
        <f>ATTACKDAMAGE(IF(ISEVEN(COLUMN()),$B27,$C27),H$1,INT(IF('equipment-weapons'!$B27="TwoHandedRangedWeapon",RogueDexPerLvl,WarriorStrPerLvl)*H$1),CombatantLevelAttributeMod)</f>
        <v>13</v>
      </c>
      <c r="I27" s="1">
        <f>ATTACKDAMAGE(IF(ISEVEN(COLUMN()),$B27,$C27),I$1,INT(IF('equipment-weapons'!$B27="TwoHandedRangedWeapon",RogueDexPerLvl,WarriorStrPerLvl)*I$1),CombatantLevelAttributeMod)</f>
        <v>18</v>
      </c>
      <c r="J27" s="1">
        <f>ATTACKDAMAGE(IF(ISEVEN(COLUMN()),$B27,$C27),J$1,INT(IF('equipment-weapons'!$B27="TwoHandedRangedWeapon",RogueDexPerLvl,WarriorStrPerLvl)*J$1),CombatantLevelAttributeMod)</f>
        <v>15</v>
      </c>
      <c r="K27" s="1">
        <f>ATTACKDAMAGE(IF(ISEVEN(COLUMN()),$B27,$C27),K$1,INT(IF('equipment-weapons'!$B27="TwoHandedRangedWeapon",RogueDexPerLvl,WarriorStrPerLvl)*K$1),CombatantLevelAttributeMod)</f>
        <v>20</v>
      </c>
      <c r="L27" s="1">
        <f>ATTACKDAMAGE(IF(ISEVEN(COLUMN()),$B27,$C27),L$1,INT(IF('equipment-weapons'!$B27="TwoHandedRangedWeapon",RogueDexPerLvl,WarriorStrPerLvl)*L$1),CombatantLevelAttributeMod)</f>
        <v>17</v>
      </c>
      <c r="M27" s="1">
        <f>ATTACKDAMAGE(IF(ISEVEN(COLUMN()),$B27,$C27),M$1,INT(IF('equipment-weapons'!$B27="TwoHandedRangedWeapon",RogueDexPerLvl,WarriorStrPerLvl)*M$1),CombatantLevelAttributeMod)</f>
        <v>22</v>
      </c>
      <c r="N27" s="1">
        <f>ATTACKDAMAGE(IF(ISEVEN(COLUMN()),$B27,$C27),N$1,INT(IF('equipment-weapons'!$B27="TwoHandedRangedWeapon",RogueDexPerLvl,WarriorStrPerLvl)*N$1),CombatantLevelAttributeMod)</f>
        <v>19</v>
      </c>
      <c r="O27" s="1">
        <f>ATTACKDAMAGE(IF(ISEVEN(COLUMN()),$B27,$C27),O$1,INT(IF('equipment-weapons'!$B27="TwoHandedRangedWeapon",RogueDexPerLvl,WarriorStrPerLvl)*O$1),CombatantLevelAttributeMod)</f>
        <v>24</v>
      </c>
      <c r="P27" s="1">
        <f>ATTACKDAMAGE(IF(ISEVEN(COLUMN()),$B27,$C27),P$1,INT(IF('equipment-weapons'!$B27="TwoHandedRangedWeapon",RogueDexPerLvl,WarriorStrPerLvl)*P$1),CombatantLevelAttributeMod)</f>
        <v>21</v>
      </c>
      <c r="Q27" s="1">
        <f>ATTACKDAMAGE(IF(ISEVEN(COLUMN()),$B27,$C27),Q$1,INT(IF('equipment-weapons'!$B27="TwoHandedRangedWeapon",RogueDexPerLvl,WarriorStrPerLvl)*Q$1),CombatantLevelAttributeMod)</f>
        <v>26</v>
      </c>
      <c r="R27" s="1">
        <f>ATTACKDAMAGE(IF(ISEVEN(COLUMN()),$B27,$C27),R$1,INT(IF('equipment-weapons'!$B27="TwoHandedRangedWeapon",RogueDexPerLvl,WarriorStrPerLvl)*R$1),CombatantLevelAttributeMod)</f>
        <v>25</v>
      </c>
      <c r="S27" s="1">
        <f>ATTACKDAMAGE(IF(ISEVEN(COLUMN()),$B27,$C27),S$1,INT(IF('equipment-weapons'!$B27="TwoHandedRangedWeapon",RogueDexPerLvl,WarriorStrPerLvl)*S$1),CombatantLevelAttributeMod)</f>
        <v>30</v>
      </c>
      <c r="T27" s="1">
        <f>ATTACKDAMAGE(IF(ISEVEN(COLUMN()),$B27,$C27),T$1,INT(IF('equipment-weapons'!$B27="TwoHandedRangedWeapon",RogueDexPerLvl,WarriorStrPerLvl)*T$1),CombatantLevelAttributeMod)</f>
        <v>27</v>
      </c>
      <c r="U27" s="1">
        <f>ATTACKDAMAGE(IF(ISEVEN(COLUMN()),$B27,$C27),U$1,INT(IF('equipment-weapons'!$B27="TwoHandedRangedWeapon",RogueDexPerLvl,WarriorStrPerLvl)*U$1),CombatantLevelAttributeMod)</f>
        <v>32</v>
      </c>
      <c r="V27" s="1">
        <f>ATTACKDAMAGE(IF(ISEVEN(COLUMN()),$B27,$C27),V$1,INT(IF('equipment-weapons'!$B27="TwoHandedRangedWeapon",RogueDexPerLvl,WarriorStrPerLvl)*V$1),CombatantLevelAttributeMod)</f>
        <v>31</v>
      </c>
      <c r="W27" s="1">
        <f>ATTACKDAMAGE(IF(ISEVEN(COLUMN()),$B27,$C27),W$1,INT(IF('equipment-weapons'!$B27="TwoHandedRangedWeapon",RogueDexPerLvl,WarriorStrPerLvl)*W$1),CombatantLevelAttributeMod)</f>
        <v>36</v>
      </c>
    </row>
    <row r="28" ht="13.5" customHeight="1" spans="1:23" x14ac:dyDescent="0.25">
      <c r="A28" s="3" t="str">
        <f>'equipment-weapons'!A28</f>
        <v>BattleAxe</v>
      </c>
      <c r="B28" s="3">
        <f>'equipment-weapons'!F28</f>
        <v>6</v>
      </c>
      <c r="C28" s="3">
        <f>'equipment-weapons'!G28</f>
        <v>15</v>
      </c>
      <c r="D28" s="1">
        <f>ATTACKDAMAGE(IF(ISEVEN(COLUMN()),$B28,$C28),D$1,INT(IF('equipment-weapons'!$B28="TwoHandedRangedWeapon",RogueDexPerLvl,WarriorStrPerLvl)*D$1),CombatantLevelAttributeMod)</f>
        <v>7</v>
      </c>
      <c r="E28" s="1">
        <f>ATTACKDAMAGE(IF(ISEVEN(COLUMN()),$B28,$C28),E$1,INT(IF('equipment-weapons'!$B28="TwoHandedRangedWeapon",RogueDexPerLvl,WarriorStrPerLvl)*E$1),CombatantLevelAttributeMod)</f>
        <v>16</v>
      </c>
      <c r="F28" s="1">
        <f>ATTACKDAMAGE(IF(ISEVEN(COLUMN()),$B28,$C28),F$1,INT(IF('equipment-weapons'!$B28="TwoHandedRangedWeapon",RogueDexPerLvl,WarriorStrPerLvl)*F$1),CombatantLevelAttributeMod)</f>
        <v>8</v>
      </c>
      <c r="G28" s="1">
        <f>ATTACKDAMAGE(IF(ISEVEN(COLUMN()),$B28,$C28),G$1,INT(IF('equipment-weapons'!$B28="TwoHandedRangedWeapon",RogueDexPerLvl,WarriorStrPerLvl)*G$1),CombatantLevelAttributeMod)</f>
        <v>17</v>
      </c>
      <c r="H28" s="1">
        <f>ATTACKDAMAGE(IF(ISEVEN(COLUMN()),$B28,$C28),H$1,INT(IF('equipment-weapons'!$B28="TwoHandedRangedWeapon",RogueDexPerLvl,WarriorStrPerLvl)*H$1),CombatantLevelAttributeMod)</f>
        <v>10</v>
      </c>
      <c r="I28" s="1">
        <f>ATTACKDAMAGE(IF(ISEVEN(COLUMN()),$B28,$C28),I$1,INT(IF('equipment-weapons'!$B28="TwoHandedRangedWeapon",RogueDexPerLvl,WarriorStrPerLvl)*I$1),CombatantLevelAttributeMod)</f>
        <v>19</v>
      </c>
      <c r="J28" s="1">
        <f>ATTACKDAMAGE(IF(ISEVEN(COLUMN()),$B28,$C28),J$1,INT(IF('equipment-weapons'!$B28="TwoHandedRangedWeapon",RogueDexPerLvl,WarriorStrPerLvl)*J$1),CombatantLevelAttributeMod)</f>
        <v>12</v>
      </c>
      <c r="K28" s="1">
        <f>ATTACKDAMAGE(IF(ISEVEN(COLUMN()),$B28,$C28),K$1,INT(IF('equipment-weapons'!$B28="TwoHandedRangedWeapon",RogueDexPerLvl,WarriorStrPerLvl)*K$1),CombatantLevelAttributeMod)</f>
        <v>21</v>
      </c>
      <c r="L28" s="1">
        <f>ATTACKDAMAGE(IF(ISEVEN(COLUMN()),$B28,$C28),L$1,INT(IF('equipment-weapons'!$B28="TwoHandedRangedWeapon",RogueDexPerLvl,WarriorStrPerLvl)*L$1),CombatantLevelAttributeMod)</f>
        <v>14</v>
      </c>
      <c r="M28" s="1">
        <f>ATTACKDAMAGE(IF(ISEVEN(COLUMN()),$B28,$C28),M$1,INT(IF('equipment-weapons'!$B28="TwoHandedRangedWeapon",RogueDexPerLvl,WarriorStrPerLvl)*M$1),CombatantLevelAttributeMod)</f>
        <v>23</v>
      </c>
      <c r="N28" s="1">
        <f>ATTACKDAMAGE(IF(ISEVEN(COLUMN()),$B28,$C28),N$1,INT(IF('equipment-weapons'!$B28="TwoHandedRangedWeapon",RogueDexPerLvl,WarriorStrPerLvl)*N$1),CombatantLevelAttributeMod)</f>
        <v>16</v>
      </c>
      <c r="O28" s="1">
        <f>ATTACKDAMAGE(IF(ISEVEN(COLUMN()),$B28,$C28),O$1,INT(IF('equipment-weapons'!$B28="TwoHandedRangedWeapon",RogueDexPerLvl,WarriorStrPerLvl)*O$1),CombatantLevelAttributeMod)</f>
        <v>25</v>
      </c>
      <c r="P28" s="1">
        <f>ATTACKDAMAGE(IF(ISEVEN(COLUMN()),$B28,$C28),P$1,INT(IF('equipment-weapons'!$B28="TwoHandedRangedWeapon",RogueDexPerLvl,WarriorStrPerLvl)*P$1),CombatantLevelAttributeMod)</f>
        <v>18</v>
      </c>
      <c r="Q28" s="1">
        <f>ATTACKDAMAGE(IF(ISEVEN(COLUMN()),$B28,$C28),Q$1,INT(IF('equipment-weapons'!$B28="TwoHandedRangedWeapon",RogueDexPerLvl,WarriorStrPerLvl)*Q$1),CombatantLevelAttributeMod)</f>
        <v>27</v>
      </c>
      <c r="R28" s="1">
        <f>ATTACKDAMAGE(IF(ISEVEN(COLUMN()),$B28,$C28),R$1,INT(IF('equipment-weapons'!$B28="TwoHandedRangedWeapon",RogueDexPerLvl,WarriorStrPerLvl)*R$1),CombatantLevelAttributeMod)</f>
        <v>22</v>
      </c>
      <c r="S28" s="1">
        <f>ATTACKDAMAGE(IF(ISEVEN(COLUMN()),$B28,$C28),S$1,INT(IF('equipment-weapons'!$B28="TwoHandedRangedWeapon",RogueDexPerLvl,WarriorStrPerLvl)*S$1),CombatantLevelAttributeMod)</f>
        <v>31</v>
      </c>
      <c r="T28" s="1">
        <f>ATTACKDAMAGE(IF(ISEVEN(COLUMN()),$B28,$C28),T$1,INT(IF('equipment-weapons'!$B28="TwoHandedRangedWeapon",RogueDexPerLvl,WarriorStrPerLvl)*T$1),CombatantLevelAttributeMod)</f>
        <v>24</v>
      </c>
      <c r="U28" s="1">
        <f>ATTACKDAMAGE(IF(ISEVEN(COLUMN()),$B28,$C28),U$1,INT(IF('equipment-weapons'!$B28="TwoHandedRangedWeapon",RogueDexPerLvl,WarriorStrPerLvl)*U$1),CombatantLevelAttributeMod)</f>
        <v>33</v>
      </c>
      <c r="V28" s="1">
        <f>ATTACKDAMAGE(IF(ISEVEN(COLUMN()),$B28,$C28),V$1,INT(IF('equipment-weapons'!$B28="TwoHandedRangedWeapon",RogueDexPerLvl,WarriorStrPerLvl)*V$1),CombatantLevelAttributeMod)</f>
        <v>28</v>
      </c>
      <c r="W28" s="1">
        <f>ATTACKDAMAGE(IF(ISEVEN(COLUMN()),$B28,$C28),W$1,INT(IF('equipment-weapons'!$B28="TwoHandedRangedWeapon",RogueDexPerLvl,WarriorStrPerLvl)*W$1),CombatantLevelAttributeMod)</f>
        <v>37</v>
      </c>
    </row>
    <row r="29" ht="13.5" customHeight="1" spans="1:23" x14ac:dyDescent="0.25">
      <c r="A29" s="3" t="str">
        <f>'equipment-weapons'!A29</f>
        <v>Glaive</v>
      </c>
      <c r="B29" s="3">
        <f>'equipment-weapons'!F29</f>
        <v>8</v>
      </c>
      <c r="C29" s="3">
        <f>'equipment-weapons'!G29</f>
        <v>17</v>
      </c>
      <c r="D29" s="1">
        <f>ATTACKDAMAGE(IF(ISEVEN(COLUMN()),$B29,$C29),D$1,INT(IF('equipment-weapons'!$B29="TwoHandedRangedWeapon",RogueDexPerLvl,WarriorStrPerLvl)*D$1),CombatantLevelAttributeMod)</f>
        <v>9</v>
      </c>
      <c r="E29" s="1">
        <f>ATTACKDAMAGE(IF(ISEVEN(COLUMN()),$B29,$C29),E$1,INT(IF('equipment-weapons'!$B29="TwoHandedRangedWeapon",RogueDexPerLvl,WarriorStrPerLvl)*E$1),CombatantLevelAttributeMod)</f>
        <v>18</v>
      </c>
      <c r="F29" s="1">
        <f>ATTACKDAMAGE(IF(ISEVEN(COLUMN()),$B29,$C29),F$1,INT(IF('equipment-weapons'!$B29="TwoHandedRangedWeapon",RogueDexPerLvl,WarriorStrPerLvl)*F$1),CombatantLevelAttributeMod)</f>
        <v>10</v>
      </c>
      <c r="G29" s="1">
        <f>ATTACKDAMAGE(IF(ISEVEN(COLUMN()),$B29,$C29),G$1,INT(IF('equipment-weapons'!$B29="TwoHandedRangedWeapon",RogueDexPerLvl,WarriorStrPerLvl)*G$1),CombatantLevelAttributeMod)</f>
        <v>19</v>
      </c>
      <c r="H29" s="1">
        <f>ATTACKDAMAGE(IF(ISEVEN(COLUMN()),$B29,$C29),H$1,INT(IF('equipment-weapons'!$B29="TwoHandedRangedWeapon",RogueDexPerLvl,WarriorStrPerLvl)*H$1),CombatantLevelAttributeMod)</f>
        <v>12</v>
      </c>
      <c r="I29" s="1">
        <f>ATTACKDAMAGE(IF(ISEVEN(COLUMN()),$B29,$C29),I$1,INT(IF('equipment-weapons'!$B29="TwoHandedRangedWeapon",RogueDexPerLvl,WarriorStrPerLvl)*I$1),CombatantLevelAttributeMod)</f>
        <v>21</v>
      </c>
      <c r="J29" s="1">
        <f>ATTACKDAMAGE(IF(ISEVEN(COLUMN()),$B29,$C29),J$1,INT(IF('equipment-weapons'!$B29="TwoHandedRangedWeapon",RogueDexPerLvl,WarriorStrPerLvl)*J$1),CombatantLevelAttributeMod)</f>
        <v>14</v>
      </c>
      <c r="K29" s="1">
        <f>ATTACKDAMAGE(IF(ISEVEN(COLUMN()),$B29,$C29),K$1,INT(IF('equipment-weapons'!$B29="TwoHandedRangedWeapon",RogueDexPerLvl,WarriorStrPerLvl)*K$1),CombatantLevelAttributeMod)</f>
        <v>23</v>
      </c>
      <c r="L29" s="1">
        <f>ATTACKDAMAGE(IF(ISEVEN(COLUMN()),$B29,$C29),L$1,INT(IF('equipment-weapons'!$B29="TwoHandedRangedWeapon",RogueDexPerLvl,WarriorStrPerLvl)*L$1),CombatantLevelAttributeMod)</f>
        <v>16</v>
      </c>
      <c r="M29" s="1">
        <f>ATTACKDAMAGE(IF(ISEVEN(COLUMN()),$B29,$C29),M$1,INT(IF('equipment-weapons'!$B29="TwoHandedRangedWeapon",RogueDexPerLvl,WarriorStrPerLvl)*M$1),CombatantLevelAttributeMod)</f>
        <v>25</v>
      </c>
      <c r="N29" s="1">
        <f>ATTACKDAMAGE(IF(ISEVEN(COLUMN()),$B29,$C29),N$1,INT(IF('equipment-weapons'!$B29="TwoHandedRangedWeapon",RogueDexPerLvl,WarriorStrPerLvl)*N$1),CombatantLevelAttributeMod)</f>
        <v>18</v>
      </c>
      <c r="O29" s="1">
        <f>ATTACKDAMAGE(IF(ISEVEN(COLUMN()),$B29,$C29),O$1,INT(IF('equipment-weapons'!$B29="TwoHandedRangedWeapon",RogueDexPerLvl,WarriorStrPerLvl)*O$1),CombatantLevelAttributeMod)</f>
        <v>27</v>
      </c>
      <c r="P29" s="1">
        <f>ATTACKDAMAGE(IF(ISEVEN(COLUMN()),$B29,$C29),P$1,INT(IF('equipment-weapons'!$B29="TwoHandedRangedWeapon",RogueDexPerLvl,WarriorStrPerLvl)*P$1),CombatantLevelAttributeMod)</f>
        <v>20</v>
      </c>
      <c r="Q29" s="1">
        <f>ATTACKDAMAGE(IF(ISEVEN(COLUMN()),$B29,$C29),Q$1,INT(IF('equipment-weapons'!$B29="TwoHandedRangedWeapon",RogueDexPerLvl,WarriorStrPerLvl)*Q$1),CombatantLevelAttributeMod)</f>
        <v>29</v>
      </c>
      <c r="R29" s="1">
        <f>ATTACKDAMAGE(IF(ISEVEN(COLUMN()),$B29,$C29),R$1,INT(IF('equipment-weapons'!$B29="TwoHandedRangedWeapon",RogueDexPerLvl,WarriorStrPerLvl)*R$1),CombatantLevelAttributeMod)</f>
        <v>24</v>
      </c>
      <c r="S29" s="1">
        <f>ATTACKDAMAGE(IF(ISEVEN(COLUMN()),$B29,$C29),S$1,INT(IF('equipment-weapons'!$B29="TwoHandedRangedWeapon",RogueDexPerLvl,WarriorStrPerLvl)*S$1),CombatantLevelAttributeMod)</f>
        <v>33</v>
      </c>
      <c r="T29" s="1">
        <f>ATTACKDAMAGE(IF(ISEVEN(COLUMN()),$B29,$C29),T$1,INT(IF('equipment-weapons'!$B29="TwoHandedRangedWeapon",RogueDexPerLvl,WarriorStrPerLvl)*T$1),CombatantLevelAttributeMod)</f>
        <v>26</v>
      </c>
      <c r="U29" s="1">
        <f>ATTACKDAMAGE(IF(ISEVEN(COLUMN()),$B29,$C29),U$1,INT(IF('equipment-weapons'!$B29="TwoHandedRangedWeapon",RogueDexPerLvl,WarriorStrPerLvl)*U$1),CombatantLevelAttributeMod)</f>
        <v>35</v>
      </c>
      <c r="V29" s="1">
        <f>ATTACKDAMAGE(IF(ISEVEN(COLUMN()),$B29,$C29),V$1,INT(IF('equipment-weapons'!$B29="TwoHandedRangedWeapon",RogueDexPerLvl,WarriorStrPerLvl)*V$1),CombatantLevelAttributeMod)</f>
        <v>30</v>
      </c>
      <c r="W29" s="1">
        <f>ATTACKDAMAGE(IF(ISEVEN(COLUMN()),$B29,$C29),W$1,INT(IF('equipment-weapons'!$B29="TwoHandedRangedWeapon",RogueDexPerLvl,WarriorStrPerLvl)*W$1),CombatantLevelAttributeMod)</f>
        <v>39</v>
      </c>
    </row>
    <row r="30" ht="13.5" customHeight="1" spans="1:23" x14ac:dyDescent="0.25">
      <c r="A30" s="3" t="str">
        <f>'equipment-weapons'!A30</f>
        <v>ElementalStaff</v>
      </c>
      <c r="B30" s="3">
        <f>'equipment-weapons'!F30</f>
        <v>10</v>
      </c>
      <c r="C30" s="3">
        <f>'equipment-weapons'!G30</f>
        <v>18</v>
      </c>
      <c r="D30" s="1">
        <f>ATTACKDAMAGE(IF(ISEVEN(COLUMN()),$B30,$C30),D$1,INT(IF('equipment-weapons'!$B30="TwoHandedRangedWeapon",RogueDexPerLvl,WarriorStrPerLvl)*D$1),CombatantLevelAttributeMod)</f>
        <v>11</v>
      </c>
      <c r="E30" s="1">
        <f>ATTACKDAMAGE(IF(ISEVEN(COLUMN()),$B30,$C30),E$1,INT(IF('equipment-weapons'!$B30="TwoHandedRangedWeapon",RogueDexPerLvl,WarriorStrPerLvl)*E$1),CombatantLevelAttributeMod)</f>
        <v>19</v>
      </c>
      <c r="F30" s="1">
        <f>ATTACKDAMAGE(IF(ISEVEN(COLUMN()),$B30,$C30),F$1,INT(IF('equipment-weapons'!$B30="TwoHandedRangedWeapon",RogueDexPerLvl,WarriorStrPerLvl)*F$1),CombatantLevelAttributeMod)</f>
        <v>12</v>
      </c>
      <c r="G30" s="1">
        <f>ATTACKDAMAGE(IF(ISEVEN(COLUMN()),$B30,$C30),G$1,INT(IF('equipment-weapons'!$B30="TwoHandedRangedWeapon",RogueDexPerLvl,WarriorStrPerLvl)*G$1),CombatantLevelAttributeMod)</f>
        <v>20</v>
      </c>
      <c r="H30" s="1">
        <f>ATTACKDAMAGE(IF(ISEVEN(COLUMN()),$B30,$C30),H$1,INT(IF('equipment-weapons'!$B30="TwoHandedRangedWeapon",RogueDexPerLvl,WarriorStrPerLvl)*H$1),CombatantLevelAttributeMod)</f>
        <v>14</v>
      </c>
      <c r="I30" s="1">
        <f>ATTACKDAMAGE(IF(ISEVEN(COLUMN()),$B30,$C30),I$1,INT(IF('equipment-weapons'!$B30="TwoHandedRangedWeapon",RogueDexPerLvl,WarriorStrPerLvl)*I$1),CombatantLevelAttributeMod)</f>
        <v>22</v>
      </c>
      <c r="J30" s="1">
        <f>ATTACKDAMAGE(IF(ISEVEN(COLUMN()),$B30,$C30),J$1,INT(IF('equipment-weapons'!$B30="TwoHandedRangedWeapon",RogueDexPerLvl,WarriorStrPerLvl)*J$1),CombatantLevelAttributeMod)</f>
        <v>16</v>
      </c>
      <c r="K30" s="1">
        <f>ATTACKDAMAGE(IF(ISEVEN(COLUMN()),$B30,$C30),K$1,INT(IF('equipment-weapons'!$B30="TwoHandedRangedWeapon",RogueDexPerLvl,WarriorStrPerLvl)*K$1),CombatantLevelAttributeMod)</f>
        <v>24</v>
      </c>
      <c r="L30" s="1">
        <f>ATTACKDAMAGE(IF(ISEVEN(COLUMN()),$B30,$C30),L$1,INT(IF('equipment-weapons'!$B30="TwoHandedRangedWeapon",RogueDexPerLvl,WarriorStrPerLvl)*L$1),CombatantLevelAttributeMod)</f>
        <v>18</v>
      </c>
      <c r="M30" s="1">
        <f>ATTACKDAMAGE(IF(ISEVEN(COLUMN()),$B30,$C30),M$1,INT(IF('equipment-weapons'!$B30="TwoHandedRangedWeapon",RogueDexPerLvl,WarriorStrPerLvl)*M$1),CombatantLevelAttributeMod)</f>
        <v>26</v>
      </c>
      <c r="N30" s="1">
        <f>ATTACKDAMAGE(IF(ISEVEN(COLUMN()),$B30,$C30),N$1,INT(IF('equipment-weapons'!$B30="TwoHandedRangedWeapon",RogueDexPerLvl,WarriorStrPerLvl)*N$1),CombatantLevelAttributeMod)</f>
        <v>20</v>
      </c>
      <c r="O30" s="1">
        <f>ATTACKDAMAGE(IF(ISEVEN(COLUMN()),$B30,$C30),O$1,INT(IF('equipment-weapons'!$B30="TwoHandedRangedWeapon",RogueDexPerLvl,WarriorStrPerLvl)*O$1),CombatantLevelAttributeMod)</f>
        <v>28</v>
      </c>
      <c r="P30" s="1">
        <f>ATTACKDAMAGE(IF(ISEVEN(COLUMN()),$B30,$C30),P$1,INT(IF('equipment-weapons'!$B30="TwoHandedRangedWeapon",RogueDexPerLvl,WarriorStrPerLvl)*P$1),CombatantLevelAttributeMod)</f>
        <v>22</v>
      </c>
      <c r="Q30" s="1">
        <f>ATTACKDAMAGE(IF(ISEVEN(COLUMN()),$B30,$C30),Q$1,INT(IF('equipment-weapons'!$B30="TwoHandedRangedWeapon",RogueDexPerLvl,WarriorStrPerLvl)*Q$1),CombatantLevelAttributeMod)</f>
        <v>30</v>
      </c>
      <c r="R30" s="1">
        <f>ATTACKDAMAGE(IF(ISEVEN(COLUMN()),$B30,$C30),R$1,INT(IF('equipment-weapons'!$B30="TwoHandedRangedWeapon",RogueDexPerLvl,WarriorStrPerLvl)*R$1),CombatantLevelAttributeMod)</f>
        <v>26</v>
      </c>
      <c r="S30" s="1">
        <f>ATTACKDAMAGE(IF(ISEVEN(COLUMN()),$B30,$C30),S$1,INT(IF('equipment-weapons'!$B30="TwoHandedRangedWeapon",RogueDexPerLvl,WarriorStrPerLvl)*S$1),CombatantLevelAttributeMod)</f>
        <v>34</v>
      </c>
      <c r="T30" s="1">
        <f>ATTACKDAMAGE(IF(ISEVEN(COLUMN()),$B30,$C30),T$1,INT(IF('equipment-weapons'!$B30="TwoHandedRangedWeapon",RogueDexPerLvl,WarriorStrPerLvl)*T$1),CombatantLevelAttributeMod)</f>
        <v>28</v>
      </c>
      <c r="U30" s="1">
        <f>ATTACKDAMAGE(IF(ISEVEN(COLUMN()),$B30,$C30),U$1,INT(IF('equipment-weapons'!$B30="TwoHandedRangedWeapon",RogueDexPerLvl,WarriorStrPerLvl)*U$1),CombatantLevelAttributeMod)</f>
        <v>36</v>
      </c>
      <c r="V30" s="1">
        <f>ATTACKDAMAGE(IF(ISEVEN(COLUMN()),$B30,$C30),V$1,INT(IF('equipment-weapons'!$B30="TwoHandedRangedWeapon",RogueDexPerLvl,WarriorStrPerLvl)*V$1),CombatantLevelAttributeMod)</f>
        <v>32</v>
      </c>
      <c r="W30" s="1">
        <f>ATTACKDAMAGE(IF(ISEVEN(COLUMN()),$B30,$C30),W$1,INT(IF('equipment-weapons'!$B30="TwoHandedRangedWeapon",RogueDexPerLvl,WarriorStrPerLvl)*W$1),CombatantLevelAttributeMod)</f>
        <v>40</v>
      </c>
    </row>
    <row r="31" ht="13.5" customHeight="1" spans="1:23" x14ac:dyDescent="0.25">
      <c r="A31" s="3" t="str">
        <f>'equipment-weapons'!A31</f>
        <v>Trident</v>
      </c>
      <c r="B31" s="3">
        <f>'equipment-weapons'!F31</f>
        <v>14</v>
      </c>
      <c r="C31" s="3">
        <f>'equipment-weapons'!G31</f>
        <v>26</v>
      </c>
      <c r="D31" s="1">
        <f>ATTACKDAMAGE(IF(ISEVEN(COLUMN()),$B31,$C31),D$1,INT(IF('equipment-weapons'!$B31="TwoHandedRangedWeapon",RogueDexPerLvl,WarriorStrPerLvl)*D$1),CombatantLevelAttributeMod)</f>
        <v>15</v>
      </c>
      <c r="E31" s="1">
        <f>ATTACKDAMAGE(IF(ISEVEN(COLUMN()),$B31,$C31),E$1,INT(IF('equipment-weapons'!$B31="TwoHandedRangedWeapon",RogueDexPerLvl,WarriorStrPerLvl)*E$1),CombatantLevelAttributeMod)</f>
        <v>27</v>
      </c>
      <c r="F31" s="1">
        <f>ATTACKDAMAGE(IF(ISEVEN(COLUMN()),$B31,$C31),F$1,INT(IF('equipment-weapons'!$B31="TwoHandedRangedWeapon",RogueDexPerLvl,WarriorStrPerLvl)*F$1),CombatantLevelAttributeMod)</f>
        <v>16</v>
      </c>
      <c r="G31" s="1">
        <f>ATTACKDAMAGE(IF(ISEVEN(COLUMN()),$B31,$C31),G$1,INT(IF('equipment-weapons'!$B31="TwoHandedRangedWeapon",RogueDexPerLvl,WarriorStrPerLvl)*G$1),CombatantLevelAttributeMod)</f>
        <v>28</v>
      </c>
      <c r="H31" s="1">
        <f>ATTACKDAMAGE(IF(ISEVEN(COLUMN()),$B31,$C31),H$1,INT(IF('equipment-weapons'!$B31="TwoHandedRangedWeapon",RogueDexPerLvl,WarriorStrPerLvl)*H$1),CombatantLevelAttributeMod)</f>
        <v>18</v>
      </c>
      <c r="I31" s="1">
        <f>ATTACKDAMAGE(IF(ISEVEN(COLUMN()),$B31,$C31),I$1,INT(IF('equipment-weapons'!$B31="TwoHandedRangedWeapon",RogueDexPerLvl,WarriorStrPerLvl)*I$1),CombatantLevelAttributeMod)</f>
        <v>30</v>
      </c>
      <c r="J31" s="1">
        <f>ATTACKDAMAGE(IF(ISEVEN(COLUMN()),$B31,$C31),J$1,INT(IF('equipment-weapons'!$B31="TwoHandedRangedWeapon",RogueDexPerLvl,WarriorStrPerLvl)*J$1),CombatantLevelAttributeMod)</f>
        <v>20</v>
      </c>
      <c r="K31" s="1">
        <f>ATTACKDAMAGE(IF(ISEVEN(COLUMN()),$B31,$C31),K$1,INT(IF('equipment-weapons'!$B31="TwoHandedRangedWeapon",RogueDexPerLvl,WarriorStrPerLvl)*K$1),CombatantLevelAttributeMod)</f>
        <v>32</v>
      </c>
      <c r="L31" s="1">
        <f>ATTACKDAMAGE(IF(ISEVEN(COLUMN()),$B31,$C31),L$1,INT(IF('equipment-weapons'!$B31="TwoHandedRangedWeapon",RogueDexPerLvl,WarriorStrPerLvl)*L$1),CombatantLevelAttributeMod)</f>
        <v>22</v>
      </c>
      <c r="M31" s="1">
        <f>ATTACKDAMAGE(IF(ISEVEN(COLUMN()),$B31,$C31),M$1,INT(IF('equipment-weapons'!$B31="TwoHandedRangedWeapon",RogueDexPerLvl,WarriorStrPerLvl)*M$1),CombatantLevelAttributeMod)</f>
        <v>34</v>
      </c>
      <c r="N31" s="1">
        <f>ATTACKDAMAGE(IF(ISEVEN(COLUMN()),$B31,$C31),N$1,INT(IF('equipment-weapons'!$B31="TwoHandedRangedWeapon",RogueDexPerLvl,WarriorStrPerLvl)*N$1),CombatantLevelAttributeMod)</f>
        <v>24</v>
      </c>
      <c r="O31" s="1">
        <f>ATTACKDAMAGE(IF(ISEVEN(COLUMN()),$B31,$C31),O$1,INT(IF('equipment-weapons'!$B31="TwoHandedRangedWeapon",RogueDexPerLvl,WarriorStrPerLvl)*O$1),CombatantLevelAttributeMod)</f>
        <v>36</v>
      </c>
      <c r="P31" s="1">
        <f>ATTACKDAMAGE(IF(ISEVEN(COLUMN()),$B31,$C31),P$1,INT(IF('equipment-weapons'!$B31="TwoHandedRangedWeapon",RogueDexPerLvl,WarriorStrPerLvl)*P$1),CombatantLevelAttributeMod)</f>
        <v>26</v>
      </c>
      <c r="Q31" s="1">
        <f>ATTACKDAMAGE(IF(ISEVEN(COLUMN()),$B31,$C31),Q$1,INT(IF('equipment-weapons'!$B31="TwoHandedRangedWeapon",RogueDexPerLvl,WarriorStrPerLvl)*Q$1),CombatantLevelAttributeMod)</f>
        <v>38</v>
      </c>
      <c r="R31" s="1">
        <f>ATTACKDAMAGE(IF(ISEVEN(COLUMN()),$B31,$C31),R$1,INT(IF('equipment-weapons'!$B31="TwoHandedRangedWeapon",RogueDexPerLvl,WarriorStrPerLvl)*R$1),CombatantLevelAttributeMod)</f>
        <v>30</v>
      </c>
      <c r="S31" s="1">
        <f>ATTACKDAMAGE(IF(ISEVEN(COLUMN()),$B31,$C31),S$1,INT(IF('equipment-weapons'!$B31="TwoHandedRangedWeapon",RogueDexPerLvl,WarriorStrPerLvl)*S$1),CombatantLevelAttributeMod)</f>
        <v>42</v>
      </c>
      <c r="T31" s="1">
        <f>ATTACKDAMAGE(IF(ISEVEN(COLUMN()),$B31,$C31),T$1,INT(IF('equipment-weapons'!$B31="TwoHandedRangedWeapon",RogueDexPerLvl,WarriorStrPerLvl)*T$1),CombatantLevelAttributeMod)</f>
        <v>32</v>
      </c>
      <c r="U31" s="1">
        <f>ATTACKDAMAGE(IF(ISEVEN(COLUMN()),$B31,$C31),U$1,INT(IF('equipment-weapons'!$B31="TwoHandedRangedWeapon",RogueDexPerLvl,WarriorStrPerLvl)*U$1),CombatantLevelAttributeMod)</f>
        <v>44</v>
      </c>
      <c r="V31" s="1">
        <f>ATTACKDAMAGE(IF(ISEVEN(COLUMN()),$B31,$C31),V$1,INT(IF('equipment-weapons'!$B31="TwoHandedRangedWeapon",RogueDexPerLvl,WarriorStrPerLvl)*V$1),CombatantLevelAttributeMod)</f>
        <v>36</v>
      </c>
      <c r="W31" s="1">
        <f>ATTACKDAMAGE(IF(ISEVEN(COLUMN()),$B31,$C31),W$1,INT(IF('equipment-weapons'!$B31="TwoHandedRangedWeapon",RogueDexPerLvl,WarriorStrPerLvl)*W$1),CombatantLevelAttributeMod)</f>
        <v>48</v>
      </c>
    </row>
    <row r="32" ht="13.5" customHeight="1" spans="1:23" x14ac:dyDescent="0.25">
      <c r="A32" s="3" t="str">
        <f>'equipment-weapons'!A32</f>
        <v>GreatAxe</v>
      </c>
      <c r="B32" s="3">
        <f>'equipment-weapons'!F32</f>
        <v>15</v>
      </c>
      <c r="C32" s="3">
        <f>'equipment-weapons'!G32</f>
        <v>35</v>
      </c>
      <c r="D32" s="1">
        <f>ATTACKDAMAGE(IF(ISEVEN(COLUMN()),$B32,$C32),D$1,INT(IF('equipment-weapons'!$B32="TwoHandedRangedWeapon",RogueDexPerLvl,WarriorStrPerLvl)*D$1),CombatantLevelAttributeMod)</f>
        <v>16</v>
      </c>
      <c r="E32" s="1">
        <f>ATTACKDAMAGE(IF(ISEVEN(COLUMN()),$B32,$C32),E$1,INT(IF('equipment-weapons'!$B32="TwoHandedRangedWeapon",RogueDexPerLvl,WarriorStrPerLvl)*E$1),CombatantLevelAttributeMod)</f>
        <v>36</v>
      </c>
      <c r="F32" s="1">
        <f>ATTACKDAMAGE(IF(ISEVEN(COLUMN()),$B32,$C32),F$1,INT(IF('equipment-weapons'!$B32="TwoHandedRangedWeapon",RogueDexPerLvl,WarriorStrPerLvl)*F$1),CombatantLevelAttributeMod)</f>
        <v>17</v>
      </c>
      <c r="G32" s="1">
        <f>ATTACKDAMAGE(IF(ISEVEN(COLUMN()),$B32,$C32),G$1,INT(IF('equipment-weapons'!$B32="TwoHandedRangedWeapon",RogueDexPerLvl,WarriorStrPerLvl)*G$1),CombatantLevelAttributeMod)</f>
        <v>37</v>
      </c>
      <c r="H32" s="1">
        <f>ATTACKDAMAGE(IF(ISEVEN(COLUMN()),$B32,$C32),H$1,INT(IF('equipment-weapons'!$B32="TwoHandedRangedWeapon",RogueDexPerLvl,WarriorStrPerLvl)*H$1),CombatantLevelAttributeMod)</f>
        <v>19</v>
      </c>
      <c r="I32" s="1">
        <f>ATTACKDAMAGE(IF(ISEVEN(COLUMN()),$B32,$C32),I$1,INT(IF('equipment-weapons'!$B32="TwoHandedRangedWeapon",RogueDexPerLvl,WarriorStrPerLvl)*I$1),CombatantLevelAttributeMod)</f>
        <v>39</v>
      </c>
      <c r="J32" s="1">
        <f>ATTACKDAMAGE(IF(ISEVEN(COLUMN()),$B32,$C32),J$1,INT(IF('equipment-weapons'!$B32="TwoHandedRangedWeapon",RogueDexPerLvl,WarriorStrPerLvl)*J$1),CombatantLevelAttributeMod)</f>
        <v>21</v>
      </c>
      <c r="K32" s="1">
        <f>ATTACKDAMAGE(IF(ISEVEN(COLUMN()),$B32,$C32),K$1,INT(IF('equipment-weapons'!$B32="TwoHandedRangedWeapon",RogueDexPerLvl,WarriorStrPerLvl)*K$1),CombatantLevelAttributeMod)</f>
        <v>41</v>
      </c>
      <c r="L32" s="1">
        <f>ATTACKDAMAGE(IF(ISEVEN(COLUMN()),$B32,$C32),L$1,INT(IF('equipment-weapons'!$B32="TwoHandedRangedWeapon",RogueDexPerLvl,WarriorStrPerLvl)*L$1),CombatantLevelAttributeMod)</f>
        <v>23</v>
      </c>
      <c r="M32" s="1">
        <f>ATTACKDAMAGE(IF(ISEVEN(COLUMN()),$B32,$C32),M$1,INT(IF('equipment-weapons'!$B32="TwoHandedRangedWeapon",RogueDexPerLvl,WarriorStrPerLvl)*M$1),CombatantLevelAttributeMod)</f>
        <v>43</v>
      </c>
      <c r="N32" s="1">
        <f>ATTACKDAMAGE(IF(ISEVEN(COLUMN()),$B32,$C32),N$1,INT(IF('equipment-weapons'!$B32="TwoHandedRangedWeapon",RogueDexPerLvl,WarriorStrPerLvl)*N$1),CombatantLevelAttributeMod)</f>
        <v>25</v>
      </c>
      <c r="O32" s="1">
        <f>ATTACKDAMAGE(IF(ISEVEN(COLUMN()),$B32,$C32),O$1,INT(IF('equipment-weapons'!$B32="TwoHandedRangedWeapon",RogueDexPerLvl,WarriorStrPerLvl)*O$1),CombatantLevelAttributeMod)</f>
        <v>45</v>
      </c>
      <c r="P32" s="1">
        <f>ATTACKDAMAGE(IF(ISEVEN(COLUMN()),$B32,$C32),P$1,INT(IF('equipment-weapons'!$B32="TwoHandedRangedWeapon",RogueDexPerLvl,WarriorStrPerLvl)*P$1),CombatantLevelAttributeMod)</f>
        <v>27</v>
      </c>
      <c r="Q32" s="1">
        <f>ATTACKDAMAGE(IF(ISEVEN(COLUMN()),$B32,$C32),Q$1,INT(IF('equipment-weapons'!$B32="TwoHandedRangedWeapon",RogueDexPerLvl,WarriorStrPerLvl)*Q$1),CombatantLevelAttributeMod)</f>
        <v>47</v>
      </c>
      <c r="R32" s="1">
        <f>ATTACKDAMAGE(IF(ISEVEN(COLUMN()),$B32,$C32),R$1,INT(IF('equipment-weapons'!$B32="TwoHandedRangedWeapon",RogueDexPerLvl,WarriorStrPerLvl)*R$1),CombatantLevelAttributeMod)</f>
        <v>31</v>
      </c>
      <c r="S32" s="1">
        <f>ATTACKDAMAGE(IF(ISEVEN(COLUMN()),$B32,$C32),S$1,INT(IF('equipment-weapons'!$B32="TwoHandedRangedWeapon",RogueDexPerLvl,WarriorStrPerLvl)*S$1),CombatantLevelAttributeMod)</f>
        <v>51</v>
      </c>
      <c r="T32" s="1">
        <f>ATTACKDAMAGE(IF(ISEVEN(COLUMN()),$B32,$C32),T$1,INT(IF('equipment-weapons'!$B32="TwoHandedRangedWeapon",RogueDexPerLvl,WarriorStrPerLvl)*T$1),CombatantLevelAttributeMod)</f>
        <v>33</v>
      </c>
      <c r="U32" s="1">
        <f>ATTACKDAMAGE(IF(ISEVEN(COLUMN()),$B32,$C32),U$1,INT(IF('equipment-weapons'!$B32="TwoHandedRangedWeapon",RogueDexPerLvl,WarriorStrPerLvl)*U$1),CombatantLevelAttributeMod)</f>
        <v>53</v>
      </c>
      <c r="V32" s="1">
        <f>ATTACKDAMAGE(IF(ISEVEN(COLUMN()),$B32,$C32),V$1,INT(IF('equipment-weapons'!$B32="TwoHandedRangedWeapon",RogueDexPerLvl,WarriorStrPerLvl)*V$1),CombatantLevelAttributeMod)</f>
        <v>37</v>
      </c>
      <c r="W32" s="1">
        <f>ATTACKDAMAGE(IF(ISEVEN(COLUMN()),$B32,$C32),W$1,INT(IF('equipment-weapons'!$B32="TwoHandedRangedWeapon",RogueDexPerLvl,WarriorStrPerLvl)*W$1),CombatantLevelAttributeMod)</f>
        <v>57</v>
      </c>
    </row>
    <row r="33" ht="13.5" customHeight="1" spans="1:23" x14ac:dyDescent="0.25">
      <c r="A33" s="3" t="str">
        <f>'equipment-weapons'!A33</f>
        <v>GravityHammer</v>
      </c>
      <c r="B33" s="3">
        <f>'equipment-weapons'!F33</f>
        <v>20</v>
      </c>
      <c r="C33" s="3">
        <f>'equipment-weapons'!G33</f>
        <v>30</v>
      </c>
      <c r="D33" s="1">
        <f>ATTACKDAMAGE(IF(ISEVEN(COLUMN()),$B33,$C33),D$1,INT(IF('equipment-weapons'!$B33="TwoHandedRangedWeapon",RogueDexPerLvl,WarriorStrPerLvl)*D$1),CombatantLevelAttributeMod)</f>
        <v>21</v>
      </c>
      <c r="E33" s="1">
        <f>ATTACKDAMAGE(IF(ISEVEN(COLUMN()),$B33,$C33),E$1,INT(IF('equipment-weapons'!$B33="TwoHandedRangedWeapon",RogueDexPerLvl,WarriorStrPerLvl)*E$1),CombatantLevelAttributeMod)</f>
        <v>31</v>
      </c>
      <c r="F33" s="1">
        <f>ATTACKDAMAGE(IF(ISEVEN(COLUMN()),$B33,$C33),F$1,INT(IF('equipment-weapons'!$B33="TwoHandedRangedWeapon",RogueDexPerLvl,WarriorStrPerLvl)*F$1),CombatantLevelAttributeMod)</f>
        <v>22</v>
      </c>
      <c r="G33" s="1">
        <f>ATTACKDAMAGE(IF(ISEVEN(COLUMN()),$B33,$C33),G$1,INT(IF('equipment-weapons'!$B33="TwoHandedRangedWeapon",RogueDexPerLvl,WarriorStrPerLvl)*G$1),CombatantLevelAttributeMod)</f>
        <v>32</v>
      </c>
      <c r="H33" s="1">
        <f>ATTACKDAMAGE(IF(ISEVEN(COLUMN()),$B33,$C33),H$1,INT(IF('equipment-weapons'!$B33="TwoHandedRangedWeapon",RogueDexPerLvl,WarriorStrPerLvl)*H$1),CombatantLevelAttributeMod)</f>
        <v>24</v>
      </c>
      <c r="I33" s="1">
        <f>ATTACKDAMAGE(IF(ISEVEN(COLUMN()),$B33,$C33),I$1,INT(IF('equipment-weapons'!$B33="TwoHandedRangedWeapon",RogueDexPerLvl,WarriorStrPerLvl)*I$1),CombatantLevelAttributeMod)</f>
        <v>34</v>
      </c>
      <c r="J33" s="1">
        <f>ATTACKDAMAGE(IF(ISEVEN(COLUMN()),$B33,$C33),J$1,INT(IF('equipment-weapons'!$B33="TwoHandedRangedWeapon",RogueDexPerLvl,WarriorStrPerLvl)*J$1),CombatantLevelAttributeMod)</f>
        <v>26</v>
      </c>
      <c r="K33" s="1">
        <f>ATTACKDAMAGE(IF(ISEVEN(COLUMN()),$B33,$C33),K$1,INT(IF('equipment-weapons'!$B33="TwoHandedRangedWeapon",RogueDexPerLvl,WarriorStrPerLvl)*K$1),CombatantLevelAttributeMod)</f>
        <v>36</v>
      </c>
      <c r="L33" s="1">
        <f>ATTACKDAMAGE(IF(ISEVEN(COLUMN()),$B33,$C33),L$1,INT(IF('equipment-weapons'!$B33="TwoHandedRangedWeapon",RogueDexPerLvl,WarriorStrPerLvl)*L$1),CombatantLevelAttributeMod)</f>
        <v>28</v>
      </c>
      <c r="M33" s="1">
        <f>ATTACKDAMAGE(IF(ISEVEN(COLUMN()),$B33,$C33),M$1,INT(IF('equipment-weapons'!$B33="TwoHandedRangedWeapon",RogueDexPerLvl,WarriorStrPerLvl)*M$1),CombatantLevelAttributeMod)</f>
        <v>38</v>
      </c>
      <c r="N33" s="1">
        <f>ATTACKDAMAGE(IF(ISEVEN(COLUMN()),$B33,$C33),N$1,INT(IF('equipment-weapons'!$B33="TwoHandedRangedWeapon",RogueDexPerLvl,WarriorStrPerLvl)*N$1),CombatantLevelAttributeMod)</f>
        <v>30</v>
      </c>
      <c r="O33" s="1">
        <f>ATTACKDAMAGE(IF(ISEVEN(COLUMN()),$B33,$C33),O$1,INT(IF('equipment-weapons'!$B33="TwoHandedRangedWeapon",RogueDexPerLvl,WarriorStrPerLvl)*O$1),CombatantLevelAttributeMod)</f>
        <v>40</v>
      </c>
      <c r="P33" s="1">
        <f>ATTACKDAMAGE(IF(ISEVEN(COLUMN()),$B33,$C33),P$1,INT(IF('equipment-weapons'!$B33="TwoHandedRangedWeapon",RogueDexPerLvl,WarriorStrPerLvl)*P$1),CombatantLevelAttributeMod)</f>
        <v>32</v>
      </c>
      <c r="Q33" s="1">
        <f>ATTACKDAMAGE(IF(ISEVEN(COLUMN()),$B33,$C33),Q$1,INT(IF('equipment-weapons'!$B33="TwoHandedRangedWeapon",RogueDexPerLvl,WarriorStrPerLvl)*Q$1),CombatantLevelAttributeMod)</f>
        <v>42</v>
      </c>
      <c r="R33" s="1">
        <f>ATTACKDAMAGE(IF(ISEVEN(COLUMN()),$B33,$C33),R$1,INT(IF('equipment-weapons'!$B33="TwoHandedRangedWeapon",RogueDexPerLvl,WarriorStrPerLvl)*R$1),CombatantLevelAttributeMod)</f>
        <v>36</v>
      </c>
      <c r="S33" s="1">
        <f>ATTACKDAMAGE(IF(ISEVEN(COLUMN()),$B33,$C33),S$1,INT(IF('equipment-weapons'!$B33="TwoHandedRangedWeapon",RogueDexPerLvl,WarriorStrPerLvl)*S$1),CombatantLevelAttributeMod)</f>
        <v>46</v>
      </c>
      <c r="T33" s="1">
        <f>ATTACKDAMAGE(IF(ISEVEN(COLUMN()),$B33,$C33),T$1,INT(IF('equipment-weapons'!$B33="TwoHandedRangedWeapon",RogueDexPerLvl,WarriorStrPerLvl)*T$1),CombatantLevelAttributeMod)</f>
        <v>38</v>
      </c>
      <c r="U33" s="1">
        <f>ATTACKDAMAGE(IF(ISEVEN(COLUMN()),$B33,$C33),U$1,INT(IF('equipment-weapons'!$B33="TwoHandedRangedWeapon",RogueDexPerLvl,WarriorStrPerLvl)*U$1),CombatantLevelAttributeMod)</f>
        <v>48</v>
      </c>
      <c r="V33" s="1">
        <f>ATTACKDAMAGE(IF(ISEVEN(COLUMN()),$B33,$C33),V$1,INT(IF('equipment-weapons'!$B33="TwoHandedRangedWeapon",RogueDexPerLvl,WarriorStrPerLvl)*V$1),CombatantLevelAttributeMod)</f>
        <v>42</v>
      </c>
      <c r="W33" s="1">
        <f>ATTACKDAMAGE(IF(ISEVEN(COLUMN()),$B33,$C33),W$1,INT(IF('equipment-weapons'!$B33="TwoHandedRangedWeapon",RogueDexPerLvl,WarriorStrPerLvl)*W$1),CombatantLevelAttributeMod)</f>
        <v>52</v>
      </c>
    </row>
    <row r="34" ht="13.5" customHeight="1" spans="1:23" x14ac:dyDescent="0.25">
      <c r="A34" s="3" t="str">
        <f>'equipment-weapons'!A34</f>
        <v>ElmStaff</v>
      </c>
      <c r="B34" s="3">
        <f>'equipment-weapons'!F34</f>
        <v>4</v>
      </c>
      <c r="C34" s="3">
        <f>'equipment-weapons'!G34</f>
        <v>12</v>
      </c>
      <c r="D34" s="1">
        <f>ATTACKDAMAGE(IF(ISEVEN(COLUMN()),$B34,$C34),D$1,INT(IF('equipment-weapons'!$B34="TwoHandedRangedWeapon",RogueDexPerLvl,WarriorStrPerLvl)*D$1),CombatantLevelAttributeMod)</f>
        <v>5</v>
      </c>
      <c r="E34" s="1">
        <f>ATTACKDAMAGE(IF(ISEVEN(COLUMN()),$B34,$C34),E$1,INT(IF('equipment-weapons'!$B34="TwoHandedRangedWeapon",RogueDexPerLvl,WarriorStrPerLvl)*E$1),CombatantLevelAttributeMod)</f>
        <v>13</v>
      </c>
      <c r="F34" s="1">
        <f>ATTACKDAMAGE(IF(ISEVEN(COLUMN()),$B34,$C34),F$1,INT(IF('equipment-weapons'!$B34="TwoHandedRangedWeapon",RogueDexPerLvl,WarriorStrPerLvl)*F$1),CombatantLevelAttributeMod)</f>
        <v>6</v>
      </c>
      <c r="G34" s="1">
        <f>ATTACKDAMAGE(IF(ISEVEN(COLUMN()),$B34,$C34),G$1,INT(IF('equipment-weapons'!$B34="TwoHandedRangedWeapon",RogueDexPerLvl,WarriorStrPerLvl)*G$1),CombatantLevelAttributeMod)</f>
        <v>14</v>
      </c>
      <c r="H34" s="1">
        <f>ATTACKDAMAGE(IF(ISEVEN(COLUMN()),$B34,$C34),H$1,INT(IF('equipment-weapons'!$B34="TwoHandedRangedWeapon",RogueDexPerLvl,WarriorStrPerLvl)*H$1),CombatantLevelAttributeMod)</f>
        <v>8</v>
      </c>
      <c r="I34" s="1">
        <f>ATTACKDAMAGE(IF(ISEVEN(COLUMN()),$B34,$C34),I$1,INT(IF('equipment-weapons'!$B34="TwoHandedRangedWeapon",RogueDexPerLvl,WarriorStrPerLvl)*I$1),CombatantLevelAttributeMod)</f>
        <v>16</v>
      </c>
      <c r="J34" s="1">
        <f>ATTACKDAMAGE(IF(ISEVEN(COLUMN()),$B34,$C34),J$1,INT(IF('equipment-weapons'!$B34="TwoHandedRangedWeapon",RogueDexPerLvl,WarriorStrPerLvl)*J$1),CombatantLevelAttributeMod)</f>
        <v>10</v>
      </c>
      <c r="K34" s="1">
        <f>ATTACKDAMAGE(IF(ISEVEN(COLUMN()),$B34,$C34),K$1,INT(IF('equipment-weapons'!$B34="TwoHandedRangedWeapon",RogueDexPerLvl,WarriorStrPerLvl)*K$1),CombatantLevelAttributeMod)</f>
        <v>18</v>
      </c>
      <c r="L34" s="1">
        <f>ATTACKDAMAGE(IF(ISEVEN(COLUMN()),$B34,$C34),L$1,INT(IF('equipment-weapons'!$B34="TwoHandedRangedWeapon",RogueDexPerLvl,WarriorStrPerLvl)*L$1),CombatantLevelAttributeMod)</f>
        <v>12</v>
      </c>
      <c r="M34" s="1">
        <f>ATTACKDAMAGE(IF(ISEVEN(COLUMN()),$B34,$C34),M$1,INT(IF('equipment-weapons'!$B34="TwoHandedRangedWeapon",RogueDexPerLvl,WarriorStrPerLvl)*M$1),CombatantLevelAttributeMod)</f>
        <v>20</v>
      </c>
      <c r="N34" s="1">
        <f>ATTACKDAMAGE(IF(ISEVEN(COLUMN()),$B34,$C34),N$1,INT(IF('equipment-weapons'!$B34="TwoHandedRangedWeapon",RogueDexPerLvl,WarriorStrPerLvl)*N$1),CombatantLevelAttributeMod)</f>
        <v>14</v>
      </c>
      <c r="O34" s="1">
        <f>ATTACKDAMAGE(IF(ISEVEN(COLUMN()),$B34,$C34),O$1,INT(IF('equipment-weapons'!$B34="TwoHandedRangedWeapon",RogueDexPerLvl,WarriorStrPerLvl)*O$1),CombatantLevelAttributeMod)</f>
        <v>22</v>
      </c>
      <c r="P34" s="1">
        <f>ATTACKDAMAGE(IF(ISEVEN(COLUMN()),$B34,$C34),P$1,INT(IF('equipment-weapons'!$B34="TwoHandedRangedWeapon",RogueDexPerLvl,WarriorStrPerLvl)*P$1),CombatantLevelAttributeMod)</f>
        <v>16</v>
      </c>
      <c r="Q34" s="1">
        <f>ATTACKDAMAGE(IF(ISEVEN(COLUMN()),$B34,$C34),Q$1,INT(IF('equipment-weapons'!$B34="TwoHandedRangedWeapon",RogueDexPerLvl,WarriorStrPerLvl)*Q$1),CombatantLevelAttributeMod)</f>
        <v>24</v>
      </c>
      <c r="R34" s="1">
        <f>ATTACKDAMAGE(IF(ISEVEN(COLUMN()),$B34,$C34),R$1,INT(IF('equipment-weapons'!$B34="TwoHandedRangedWeapon",RogueDexPerLvl,WarriorStrPerLvl)*R$1),CombatantLevelAttributeMod)</f>
        <v>20</v>
      </c>
      <c r="S34" s="1">
        <f>ATTACKDAMAGE(IF(ISEVEN(COLUMN()),$B34,$C34),S$1,INT(IF('equipment-weapons'!$B34="TwoHandedRangedWeapon",RogueDexPerLvl,WarriorStrPerLvl)*S$1),CombatantLevelAttributeMod)</f>
        <v>28</v>
      </c>
      <c r="T34" s="1">
        <f>ATTACKDAMAGE(IF(ISEVEN(COLUMN()),$B34,$C34),T$1,INT(IF('equipment-weapons'!$B34="TwoHandedRangedWeapon",RogueDexPerLvl,WarriorStrPerLvl)*T$1),CombatantLevelAttributeMod)</f>
        <v>22</v>
      </c>
      <c r="U34" s="1">
        <f>ATTACKDAMAGE(IF(ISEVEN(COLUMN()),$B34,$C34),U$1,INT(IF('equipment-weapons'!$B34="TwoHandedRangedWeapon",RogueDexPerLvl,WarriorStrPerLvl)*U$1),CombatantLevelAttributeMod)</f>
        <v>30</v>
      </c>
      <c r="V34" s="1">
        <f>ATTACKDAMAGE(IF(ISEVEN(COLUMN()),$B34,$C34),V$1,INT(IF('equipment-weapons'!$B34="TwoHandedRangedWeapon",RogueDexPerLvl,WarriorStrPerLvl)*V$1),CombatantLevelAttributeMod)</f>
        <v>26</v>
      </c>
      <c r="W34" s="1">
        <f>ATTACKDAMAGE(IF(ISEVEN(COLUMN()),$B34,$C34),W$1,INT(IF('equipment-weapons'!$B34="TwoHandedRangedWeapon",RogueDexPerLvl,WarriorStrPerLvl)*W$1),CombatantLevelAttributeMod)</f>
        <v>34</v>
      </c>
    </row>
    <row r="35" ht="13.5" customHeight="1" spans="1:23" x14ac:dyDescent="0.25">
      <c r="A35" s="3" t="str">
        <f>'equipment-weapons'!A35</f>
        <v>MahoganyStaff</v>
      </c>
      <c r="B35" s="3">
        <f>'equipment-weapons'!F35</f>
        <v>8</v>
      </c>
      <c r="C35" s="3">
        <f>'equipment-weapons'!G35</f>
        <v>22</v>
      </c>
      <c r="D35" s="1">
        <f>ATTACKDAMAGE(IF(ISEVEN(COLUMN()),$B35,$C35),D$1,INT(IF('equipment-weapons'!$B35="TwoHandedRangedWeapon",RogueDexPerLvl,WarriorStrPerLvl)*D$1),CombatantLevelAttributeMod)</f>
        <v>9</v>
      </c>
      <c r="E35" s="1">
        <f>ATTACKDAMAGE(IF(ISEVEN(COLUMN()),$B35,$C35),E$1,INT(IF('equipment-weapons'!$B35="TwoHandedRangedWeapon",RogueDexPerLvl,WarriorStrPerLvl)*E$1),CombatantLevelAttributeMod)</f>
        <v>23</v>
      </c>
      <c r="F35" s="1">
        <f>ATTACKDAMAGE(IF(ISEVEN(COLUMN()),$B35,$C35),F$1,INT(IF('equipment-weapons'!$B35="TwoHandedRangedWeapon",RogueDexPerLvl,WarriorStrPerLvl)*F$1),CombatantLevelAttributeMod)</f>
        <v>10</v>
      </c>
      <c r="G35" s="1">
        <f>ATTACKDAMAGE(IF(ISEVEN(COLUMN()),$B35,$C35),G$1,INT(IF('equipment-weapons'!$B35="TwoHandedRangedWeapon",RogueDexPerLvl,WarriorStrPerLvl)*G$1),CombatantLevelAttributeMod)</f>
        <v>24</v>
      </c>
      <c r="H35" s="1">
        <f>ATTACKDAMAGE(IF(ISEVEN(COLUMN()),$B35,$C35),H$1,INT(IF('equipment-weapons'!$B35="TwoHandedRangedWeapon",RogueDexPerLvl,WarriorStrPerLvl)*H$1),CombatantLevelAttributeMod)</f>
        <v>12</v>
      </c>
      <c r="I35" s="1">
        <f>ATTACKDAMAGE(IF(ISEVEN(COLUMN()),$B35,$C35),I$1,INT(IF('equipment-weapons'!$B35="TwoHandedRangedWeapon",RogueDexPerLvl,WarriorStrPerLvl)*I$1),CombatantLevelAttributeMod)</f>
        <v>26</v>
      </c>
      <c r="J35" s="1">
        <f>ATTACKDAMAGE(IF(ISEVEN(COLUMN()),$B35,$C35),J$1,INT(IF('equipment-weapons'!$B35="TwoHandedRangedWeapon",RogueDexPerLvl,WarriorStrPerLvl)*J$1),CombatantLevelAttributeMod)</f>
        <v>14</v>
      </c>
      <c r="K35" s="1">
        <f>ATTACKDAMAGE(IF(ISEVEN(COLUMN()),$B35,$C35),K$1,INT(IF('equipment-weapons'!$B35="TwoHandedRangedWeapon",RogueDexPerLvl,WarriorStrPerLvl)*K$1),CombatantLevelAttributeMod)</f>
        <v>28</v>
      </c>
      <c r="L35" s="1">
        <f>ATTACKDAMAGE(IF(ISEVEN(COLUMN()),$B35,$C35),L$1,INT(IF('equipment-weapons'!$B35="TwoHandedRangedWeapon",RogueDexPerLvl,WarriorStrPerLvl)*L$1),CombatantLevelAttributeMod)</f>
        <v>16</v>
      </c>
      <c r="M35" s="1">
        <f>ATTACKDAMAGE(IF(ISEVEN(COLUMN()),$B35,$C35),M$1,INT(IF('equipment-weapons'!$B35="TwoHandedRangedWeapon",RogueDexPerLvl,WarriorStrPerLvl)*M$1),CombatantLevelAttributeMod)</f>
        <v>30</v>
      </c>
      <c r="N35" s="1">
        <f>ATTACKDAMAGE(IF(ISEVEN(COLUMN()),$B35,$C35),N$1,INT(IF('equipment-weapons'!$B35="TwoHandedRangedWeapon",RogueDexPerLvl,WarriorStrPerLvl)*N$1),CombatantLevelAttributeMod)</f>
        <v>18</v>
      </c>
      <c r="O35" s="1">
        <f>ATTACKDAMAGE(IF(ISEVEN(COLUMN()),$B35,$C35),O$1,INT(IF('equipment-weapons'!$B35="TwoHandedRangedWeapon",RogueDexPerLvl,WarriorStrPerLvl)*O$1),CombatantLevelAttributeMod)</f>
        <v>32</v>
      </c>
      <c r="P35" s="1">
        <f>ATTACKDAMAGE(IF(ISEVEN(COLUMN()),$B35,$C35),P$1,INT(IF('equipment-weapons'!$B35="TwoHandedRangedWeapon",RogueDexPerLvl,WarriorStrPerLvl)*P$1),CombatantLevelAttributeMod)</f>
        <v>20</v>
      </c>
      <c r="Q35" s="1">
        <f>ATTACKDAMAGE(IF(ISEVEN(COLUMN()),$B35,$C35),Q$1,INT(IF('equipment-weapons'!$B35="TwoHandedRangedWeapon",RogueDexPerLvl,WarriorStrPerLvl)*Q$1),CombatantLevelAttributeMod)</f>
        <v>34</v>
      </c>
      <c r="R35" s="1">
        <f>ATTACKDAMAGE(IF(ISEVEN(COLUMN()),$B35,$C35),R$1,INT(IF('equipment-weapons'!$B35="TwoHandedRangedWeapon",RogueDexPerLvl,WarriorStrPerLvl)*R$1),CombatantLevelAttributeMod)</f>
        <v>24</v>
      </c>
      <c r="S35" s="1">
        <f>ATTACKDAMAGE(IF(ISEVEN(COLUMN()),$B35,$C35),S$1,INT(IF('equipment-weapons'!$B35="TwoHandedRangedWeapon",RogueDexPerLvl,WarriorStrPerLvl)*S$1),CombatantLevelAttributeMod)</f>
        <v>38</v>
      </c>
      <c r="T35" s="1">
        <f>ATTACKDAMAGE(IF(ISEVEN(COLUMN()),$B35,$C35),T$1,INT(IF('equipment-weapons'!$B35="TwoHandedRangedWeapon",RogueDexPerLvl,WarriorStrPerLvl)*T$1),CombatantLevelAttributeMod)</f>
        <v>26</v>
      </c>
      <c r="U35" s="1">
        <f>ATTACKDAMAGE(IF(ISEVEN(COLUMN()),$B35,$C35),U$1,INT(IF('equipment-weapons'!$B35="TwoHandedRangedWeapon",RogueDexPerLvl,WarriorStrPerLvl)*U$1),CombatantLevelAttributeMod)</f>
        <v>40</v>
      </c>
      <c r="V35" s="1">
        <f>ATTACKDAMAGE(IF(ISEVEN(COLUMN()),$B35,$C35),V$1,INT(IF('equipment-weapons'!$B35="TwoHandedRangedWeapon",RogueDexPerLvl,WarriorStrPerLvl)*V$1),CombatantLevelAttributeMod)</f>
        <v>30</v>
      </c>
      <c r="W35" s="1">
        <f>ATTACKDAMAGE(IF(ISEVEN(COLUMN()),$B35,$C35),W$1,INT(IF('equipment-weapons'!$B35="TwoHandedRangedWeapon",RogueDexPerLvl,WarriorStrPerLvl)*W$1),CombatantLevelAttributeMod)</f>
        <v>44</v>
      </c>
    </row>
    <row r="36" ht="13.5" customHeight="1" spans="1:23" x14ac:dyDescent="0.25">
      <c r="A36" s="3" t="str">
        <f>'equipment-weapons'!A36</f>
        <v>EbonyStaff</v>
      </c>
      <c r="B36" s="3">
        <f>'equipment-weapons'!F36</f>
        <v>10</v>
      </c>
      <c r="C36" s="3">
        <f>'equipment-weapons'!G36</f>
        <v>32</v>
      </c>
      <c r="D36" s="1">
        <f>ATTACKDAMAGE(IF(ISEVEN(COLUMN()),$B36,$C36),D$1,INT(IF('equipment-weapons'!$B36="TwoHandedRangedWeapon",RogueDexPerLvl,WarriorStrPerLvl)*D$1),CombatantLevelAttributeMod)</f>
        <v>11</v>
      </c>
      <c r="E36" s="1">
        <f>ATTACKDAMAGE(IF(ISEVEN(COLUMN()),$B36,$C36),E$1,INT(IF('equipment-weapons'!$B36="TwoHandedRangedWeapon",RogueDexPerLvl,WarriorStrPerLvl)*E$1),CombatantLevelAttributeMod)</f>
        <v>33</v>
      </c>
      <c r="F36" s="1">
        <f>ATTACKDAMAGE(IF(ISEVEN(COLUMN()),$B36,$C36),F$1,INT(IF('equipment-weapons'!$B36="TwoHandedRangedWeapon",RogueDexPerLvl,WarriorStrPerLvl)*F$1),CombatantLevelAttributeMod)</f>
        <v>12</v>
      </c>
      <c r="G36" s="1">
        <f>ATTACKDAMAGE(IF(ISEVEN(COLUMN()),$B36,$C36),G$1,INT(IF('equipment-weapons'!$B36="TwoHandedRangedWeapon",RogueDexPerLvl,WarriorStrPerLvl)*G$1),CombatantLevelAttributeMod)</f>
        <v>34</v>
      </c>
      <c r="H36" s="1">
        <f>ATTACKDAMAGE(IF(ISEVEN(COLUMN()),$B36,$C36),H$1,INT(IF('equipment-weapons'!$B36="TwoHandedRangedWeapon",RogueDexPerLvl,WarriorStrPerLvl)*H$1),CombatantLevelAttributeMod)</f>
        <v>14</v>
      </c>
      <c r="I36" s="1">
        <f>ATTACKDAMAGE(IF(ISEVEN(COLUMN()),$B36,$C36),I$1,INT(IF('equipment-weapons'!$B36="TwoHandedRangedWeapon",RogueDexPerLvl,WarriorStrPerLvl)*I$1),CombatantLevelAttributeMod)</f>
        <v>36</v>
      </c>
      <c r="J36" s="1">
        <f>ATTACKDAMAGE(IF(ISEVEN(COLUMN()),$B36,$C36),J$1,INT(IF('equipment-weapons'!$B36="TwoHandedRangedWeapon",RogueDexPerLvl,WarriorStrPerLvl)*J$1),CombatantLevelAttributeMod)</f>
        <v>16</v>
      </c>
      <c r="K36" s="1">
        <f>ATTACKDAMAGE(IF(ISEVEN(COLUMN()),$B36,$C36),K$1,INT(IF('equipment-weapons'!$B36="TwoHandedRangedWeapon",RogueDexPerLvl,WarriorStrPerLvl)*K$1),CombatantLevelAttributeMod)</f>
        <v>38</v>
      </c>
      <c r="L36" s="1">
        <f>ATTACKDAMAGE(IF(ISEVEN(COLUMN()),$B36,$C36),L$1,INT(IF('equipment-weapons'!$B36="TwoHandedRangedWeapon",RogueDexPerLvl,WarriorStrPerLvl)*L$1),CombatantLevelAttributeMod)</f>
        <v>18</v>
      </c>
      <c r="M36" s="1">
        <f>ATTACKDAMAGE(IF(ISEVEN(COLUMN()),$B36,$C36),M$1,INT(IF('equipment-weapons'!$B36="TwoHandedRangedWeapon",RogueDexPerLvl,WarriorStrPerLvl)*M$1),CombatantLevelAttributeMod)</f>
        <v>40</v>
      </c>
      <c r="N36" s="1">
        <f>ATTACKDAMAGE(IF(ISEVEN(COLUMN()),$B36,$C36),N$1,INT(IF('equipment-weapons'!$B36="TwoHandedRangedWeapon",RogueDexPerLvl,WarriorStrPerLvl)*N$1),CombatantLevelAttributeMod)</f>
        <v>20</v>
      </c>
      <c r="O36" s="1">
        <f>ATTACKDAMAGE(IF(ISEVEN(COLUMN()),$B36,$C36),O$1,INT(IF('equipment-weapons'!$B36="TwoHandedRangedWeapon",RogueDexPerLvl,WarriorStrPerLvl)*O$1),CombatantLevelAttributeMod)</f>
        <v>42</v>
      </c>
      <c r="P36" s="1">
        <f>ATTACKDAMAGE(IF(ISEVEN(COLUMN()),$B36,$C36),P$1,INT(IF('equipment-weapons'!$B36="TwoHandedRangedWeapon",RogueDexPerLvl,WarriorStrPerLvl)*P$1),CombatantLevelAttributeMod)</f>
        <v>22</v>
      </c>
      <c r="Q36" s="1">
        <f>ATTACKDAMAGE(IF(ISEVEN(COLUMN()),$B36,$C36),Q$1,INT(IF('equipment-weapons'!$B36="TwoHandedRangedWeapon",RogueDexPerLvl,WarriorStrPerLvl)*Q$1),CombatantLevelAttributeMod)</f>
        <v>44</v>
      </c>
      <c r="R36" s="1">
        <f>ATTACKDAMAGE(IF(ISEVEN(COLUMN()),$B36,$C36),R$1,INT(IF('equipment-weapons'!$B36="TwoHandedRangedWeapon",RogueDexPerLvl,WarriorStrPerLvl)*R$1),CombatantLevelAttributeMod)</f>
        <v>26</v>
      </c>
      <c r="S36" s="1">
        <f>ATTACKDAMAGE(IF(ISEVEN(COLUMN()),$B36,$C36),S$1,INT(IF('equipment-weapons'!$B36="TwoHandedRangedWeapon",RogueDexPerLvl,WarriorStrPerLvl)*S$1),CombatantLevelAttributeMod)</f>
        <v>48</v>
      </c>
      <c r="T36" s="1">
        <f>ATTACKDAMAGE(IF(ISEVEN(COLUMN()),$B36,$C36),T$1,INT(IF('equipment-weapons'!$B36="TwoHandedRangedWeapon",RogueDexPerLvl,WarriorStrPerLvl)*T$1),CombatantLevelAttributeMod)</f>
        <v>28</v>
      </c>
      <c r="U36" s="1">
        <f>ATTACKDAMAGE(IF(ISEVEN(COLUMN()),$B36,$C36),U$1,INT(IF('equipment-weapons'!$B36="TwoHandedRangedWeapon",RogueDexPerLvl,WarriorStrPerLvl)*U$1),CombatantLevelAttributeMod)</f>
        <v>50</v>
      </c>
      <c r="V36" s="1">
        <f>ATTACKDAMAGE(IF(ISEVEN(COLUMN()),$B36,$C36),V$1,INT(IF('equipment-weapons'!$B36="TwoHandedRangedWeapon",RogueDexPerLvl,WarriorStrPerLvl)*V$1),CombatantLevelAttributeMod)</f>
        <v>32</v>
      </c>
      <c r="W36" s="1">
        <f>ATTACKDAMAGE(IF(ISEVEN(COLUMN()),$B36,$C36),W$1,INT(IF('equipment-weapons'!$B36="TwoHandedRangedWeapon",RogueDexPerLvl,WarriorStrPerLvl)*W$1),CombatantLevelAttributeMod)</f>
        <v>54</v>
      </c>
    </row>
    <row r="37" ht="13.5" customHeight="1" spans="1:23" x14ac:dyDescent="0.25">
      <c r="A37" s="4" t="str">
        <f>'equipment-weapons'!A37</f>
        <v>ShortBow</v>
      </c>
      <c r="B37" s="4">
        <f>'equipment-weapons'!F37</f>
        <v>2</v>
      </c>
      <c r="C37" s="4">
        <f>'equipment-weapons'!G37</f>
        <v>7</v>
      </c>
      <c r="D37" s="1">
        <f>ATTACKDAMAGE(IF(ISEVEN(COLUMN()),$B37,$C37),D$1,INT(IF('equipment-weapons'!$B37="TwoHandedRangedWeapon",RogueDexPerLvl,WarriorStrPerLvl)*D$1),CombatantLevelAttributeMod)</f>
        <v>3</v>
      </c>
      <c r="E37" s="1">
        <f>ATTACKDAMAGE(IF(ISEVEN(COLUMN()),$B37,$C37),E$1,INT(IF('equipment-weapons'!$B37="TwoHandedRangedWeapon",RogueDexPerLvl,WarriorStrPerLvl)*E$1),CombatantLevelAttributeMod)</f>
        <v>8</v>
      </c>
      <c r="F37" s="1">
        <f>ATTACKDAMAGE(IF(ISEVEN(COLUMN()),$B37,$C37),F$1,INT(IF('equipment-weapons'!$B37="TwoHandedRangedWeapon",RogueDexPerLvl,WarriorStrPerLvl)*F$1),CombatantLevelAttributeMod)</f>
        <v>4</v>
      </c>
      <c r="G37" s="1">
        <f>ATTACKDAMAGE(IF(ISEVEN(COLUMN()),$B37,$C37),G$1,INT(IF('equipment-weapons'!$B37="TwoHandedRangedWeapon",RogueDexPerLvl,WarriorStrPerLvl)*G$1),CombatantLevelAttributeMod)</f>
        <v>9</v>
      </c>
      <c r="H37" s="1">
        <f>ATTACKDAMAGE(IF(ISEVEN(COLUMN()),$B37,$C37),H$1,INT(IF('equipment-weapons'!$B37="TwoHandedRangedWeapon",RogueDexPerLvl,WarriorStrPerLvl)*H$1),CombatantLevelAttributeMod)</f>
        <v>6</v>
      </c>
      <c r="I37" s="1">
        <f>ATTACKDAMAGE(IF(ISEVEN(COLUMN()),$B37,$C37),I$1,INT(IF('equipment-weapons'!$B37="TwoHandedRangedWeapon",RogueDexPerLvl,WarriorStrPerLvl)*I$1),CombatantLevelAttributeMod)</f>
        <v>11</v>
      </c>
      <c r="J37" s="1">
        <f>ATTACKDAMAGE(IF(ISEVEN(COLUMN()),$B37,$C37),J$1,INT(IF('equipment-weapons'!$B37="TwoHandedRangedWeapon",RogueDexPerLvl,WarriorStrPerLvl)*J$1),CombatantLevelAttributeMod)</f>
        <v>8</v>
      </c>
      <c r="K37" s="1">
        <f>ATTACKDAMAGE(IF(ISEVEN(COLUMN()),$B37,$C37),K$1,INT(IF('equipment-weapons'!$B37="TwoHandedRangedWeapon",RogueDexPerLvl,WarriorStrPerLvl)*K$1),CombatantLevelAttributeMod)</f>
        <v>13</v>
      </c>
      <c r="L37" s="1">
        <f>ATTACKDAMAGE(IF(ISEVEN(COLUMN()),$B37,$C37),L$1,INT(IF('equipment-weapons'!$B37="TwoHandedRangedWeapon",RogueDexPerLvl,WarriorStrPerLvl)*L$1),CombatantLevelAttributeMod)</f>
        <v>10</v>
      </c>
      <c r="M37" s="1">
        <f>ATTACKDAMAGE(IF(ISEVEN(COLUMN()),$B37,$C37),M$1,INT(IF('equipment-weapons'!$B37="TwoHandedRangedWeapon",RogueDexPerLvl,WarriorStrPerLvl)*M$1),CombatantLevelAttributeMod)</f>
        <v>15</v>
      </c>
      <c r="N37" s="1">
        <f>ATTACKDAMAGE(IF(ISEVEN(COLUMN()),$B37,$C37),N$1,INT(IF('equipment-weapons'!$B37="TwoHandedRangedWeapon",RogueDexPerLvl,WarriorStrPerLvl)*N$1),CombatantLevelAttributeMod)</f>
        <v>12</v>
      </c>
      <c r="O37" s="1">
        <f>ATTACKDAMAGE(IF(ISEVEN(COLUMN()),$B37,$C37),O$1,INT(IF('equipment-weapons'!$B37="TwoHandedRangedWeapon",RogueDexPerLvl,WarriorStrPerLvl)*O$1),CombatantLevelAttributeMod)</f>
        <v>17</v>
      </c>
      <c r="P37" s="1">
        <f>ATTACKDAMAGE(IF(ISEVEN(COLUMN()),$B37,$C37),P$1,INT(IF('equipment-weapons'!$B37="TwoHandedRangedWeapon",RogueDexPerLvl,WarriorStrPerLvl)*P$1),CombatantLevelAttributeMod)</f>
        <v>14</v>
      </c>
      <c r="Q37" s="1">
        <f>ATTACKDAMAGE(IF(ISEVEN(COLUMN()),$B37,$C37),Q$1,INT(IF('equipment-weapons'!$B37="TwoHandedRangedWeapon",RogueDexPerLvl,WarriorStrPerLvl)*Q$1),CombatantLevelAttributeMod)</f>
        <v>19</v>
      </c>
      <c r="R37" s="1">
        <f>ATTACKDAMAGE(IF(ISEVEN(COLUMN()),$B37,$C37),R$1,INT(IF('equipment-weapons'!$B37="TwoHandedRangedWeapon",RogueDexPerLvl,WarriorStrPerLvl)*R$1),CombatantLevelAttributeMod)</f>
        <v>18</v>
      </c>
      <c r="S37" s="1">
        <f>ATTACKDAMAGE(IF(ISEVEN(COLUMN()),$B37,$C37),S$1,INT(IF('equipment-weapons'!$B37="TwoHandedRangedWeapon",RogueDexPerLvl,WarriorStrPerLvl)*S$1),CombatantLevelAttributeMod)</f>
        <v>23</v>
      </c>
      <c r="T37" s="1">
        <f>ATTACKDAMAGE(IF(ISEVEN(COLUMN()),$B37,$C37),T$1,INT(IF('equipment-weapons'!$B37="TwoHandedRangedWeapon",RogueDexPerLvl,WarriorStrPerLvl)*T$1),CombatantLevelAttributeMod)</f>
        <v>20</v>
      </c>
      <c r="U37" s="1">
        <f>ATTACKDAMAGE(IF(ISEVEN(COLUMN()),$B37,$C37),U$1,INT(IF('equipment-weapons'!$B37="TwoHandedRangedWeapon",RogueDexPerLvl,WarriorStrPerLvl)*U$1),CombatantLevelAttributeMod)</f>
        <v>25</v>
      </c>
      <c r="V37" s="1">
        <f>ATTACKDAMAGE(IF(ISEVEN(COLUMN()),$B37,$C37),V$1,INT(IF('equipment-weapons'!$B37="TwoHandedRangedWeapon",RogueDexPerLvl,WarriorStrPerLvl)*V$1),CombatantLevelAttributeMod)</f>
        <v>24</v>
      </c>
      <c r="W37" s="1">
        <f>ATTACKDAMAGE(IF(ISEVEN(COLUMN()),$B37,$C37),W$1,INT(IF('equipment-weapons'!$B37="TwoHandedRangedWeapon",RogueDexPerLvl,WarriorStrPerLvl)*W$1),CombatantLevelAttributeMod)</f>
        <v>29</v>
      </c>
    </row>
    <row r="38" ht="13.5" customHeight="1" spans="1:23" x14ac:dyDescent="0.25">
      <c r="A38" s="4" t="str">
        <f>'equipment-weapons'!A38</f>
        <v>RecurveBow</v>
      </c>
      <c r="B38" s="4">
        <f>'equipment-weapons'!F38</f>
        <v>5</v>
      </c>
      <c r="C38" s="4">
        <f>'equipment-weapons'!G38</f>
        <v>10</v>
      </c>
      <c r="D38" s="1">
        <f>ATTACKDAMAGE(IF(ISEVEN(COLUMN()),$B38,$C38),D$1,INT(IF('equipment-weapons'!$B38="TwoHandedRangedWeapon",RogueDexPerLvl,WarriorStrPerLvl)*D$1),CombatantLevelAttributeMod)</f>
        <v>6</v>
      </c>
      <c r="E38" s="1">
        <f>ATTACKDAMAGE(IF(ISEVEN(COLUMN()),$B38,$C38),E$1,INT(IF('equipment-weapons'!$B38="TwoHandedRangedWeapon",RogueDexPerLvl,WarriorStrPerLvl)*E$1),CombatantLevelAttributeMod)</f>
        <v>11</v>
      </c>
      <c r="F38" s="1">
        <f>ATTACKDAMAGE(IF(ISEVEN(COLUMN()),$B38,$C38),F$1,INT(IF('equipment-weapons'!$B38="TwoHandedRangedWeapon",RogueDexPerLvl,WarriorStrPerLvl)*F$1),CombatantLevelAttributeMod)</f>
        <v>7</v>
      </c>
      <c r="G38" s="1">
        <f>ATTACKDAMAGE(IF(ISEVEN(COLUMN()),$B38,$C38),G$1,INT(IF('equipment-weapons'!$B38="TwoHandedRangedWeapon",RogueDexPerLvl,WarriorStrPerLvl)*G$1),CombatantLevelAttributeMod)</f>
        <v>12</v>
      </c>
      <c r="H38" s="1">
        <f>ATTACKDAMAGE(IF(ISEVEN(COLUMN()),$B38,$C38),H$1,INT(IF('equipment-weapons'!$B38="TwoHandedRangedWeapon",RogueDexPerLvl,WarriorStrPerLvl)*H$1),CombatantLevelAttributeMod)</f>
        <v>9</v>
      </c>
      <c r="I38" s="1">
        <f>ATTACKDAMAGE(IF(ISEVEN(COLUMN()),$B38,$C38),I$1,INT(IF('equipment-weapons'!$B38="TwoHandedRangedWeapon",RogueDexPerLvl,WarriorStrPerLvl)*I$1),CombatantLevelAttributeMod)</f>
        <v>14</v>
      </c>
      <c r="J38" s="1">
        <f>ATTACKDAMAGE(IF(ISEVEN(COLUMN()),$B38,$C38),J$1,INT(IF('equipment-weapons'!$B38="TwoHandedRangedWeapon",RogueDexPerLvl,WarriorStrPerLvl)*J$1),CombatantLevelAttributeMod)</f>
        <v>11</v>
      </c>
      <c r="K38" s="1">
        <f>ATTACKDAMAGE(IF(ISEVEN(COLUMN()),$B38,$C38),K$1,INT(IF('equipment-weapons'!$B38="TwoHandedRangedWeapon",RogueDexPerLvl,WarriorStrPerLvl)*K$1),CombatantLevelAttributeMod)</f>
        <v>16</v>
      </c>
      <c r="L38" s="1">
        <f>ATTACKDAMAGE(IF(ISEVEN(COLUMN()),$B38,$C38),L$1,INT(IF('equipment-weapons'!$B38="TwoHandedRangedWeapon",RogueDexPerLvl,WarriorStrPerLvl)*L$1),CombatantLevelAttributeMod)</f>
        <v>13</v>
      </c>
      <c r="M38" s="1">
        <f>ATTACKDAMAGE(IF(ISEVEN(COLUMN()),$B38,$C38),M$1,INT(IF('equipment-weapons'!$B38="TwoHandedRangedWeapon",RogueDexPerLvl,WarriorStrPerLvl)*M$1),CombatantLevelAttributeMod)</f>
        <v>18</v>
      </c>
      <c r="N38" s="1">
        <f>ATTACKDAMAGE(IF(ISEVEN(COLUMN()),$B38,$C38),N$1,INT(IF('equipment-weapons'!$B38="TwoHandedRangedWeapon",RogueDexPerLvl,WarriorStrPerLvl)*N$1),CombatantLevelAttributeMod)</f>
        <v>15</v>
      </c>
      <c r="O38" s="1">
        <f>ATTACKDAMAGE(IF(ISEVEN(COLUMN()),$B38,$C38),O$1,INT(IF('equipment-weapons'!$B38="TwoHandedRangedWeapon",RogueDexPerLvl,WarriorStrPerLvl)*O$1),CombatantLevelAttributeMod)</f>
        <v>20</v>
      </c>
      <c r="P38" s="1">
        <f>ATTACKDAMAGE(IF(ISEVEN(COLUMN()),$B38,$C38),P$1,INT(IF('equipment-weapons'!$B38="TwoHandedRangedWeapon",RogueDexPerLvl,WarriorStrPerLvl)*P$1),CombatantLevelAttributeMod)</f>
        <v>17</v>
      </c>
      <c r="Q38" s="1">
        <f>ATTACKDAMAGE(IF(ISEVEN(COLUMN()),$B38,$C38),Q$1,INT(IF('equipment-weapons'!$B38="TwoHandedRangedWeapon",RogueDexPerLvl,WarriorStrPerLvl)*Q$1),CombatantLevelAttributeMod)</f>
        <v>22</v>
      </c>
      <c r="R38" s="1">
        <f>ATTACKDAMAGE(IF(ISEVEN(COLUMN()),$B38,$C38),R$1,INT(IF('equipment-weapons'!$B38="TwoHandedRangedWeapon",RogueDexPerLvl,WarriorStrPerLvl)*R$1),CombatantLevelAttributeMod)</f>
        <v>21</v>
      </c>
      <c r="S38" s="1">
        <f>ATTACKDAMAGE(IF(ISEVEN(COLUMN()),$B38,$C38),S$1,INT(IF('equipment-weapons'!$B38="TwoHandedRangedWeapon",RogueDexPerLvl,WarriorStrPerLvl)*S$1),CombatantLevelAttributeMod)</f>
        <v>26</v>
      </c>
      <c r="T38" s="1">
        <f>ATTACKDAMAGE(IF(ISEVEN(COLUMN()),$B38,$C38),T$1,INT(IF('equipment-weapons'!$B38="TwoHandedRangedWeapon",RogueDexPerLvl,WarriorStrPerLvl)*T$1),CombatantLevelAttributeMod)</f>
        <v>23</v>
      </c>
      <c r="U38" s="1">
        <f>ATTACKDAMAGE(IF(ISEVEN(COLUMN()),$B38,$C38),U$1,INT(IF('equipment-weapons'!$B38="TwoHandedRangedWeapon",RogueDexPerLvl,WarriorStrPerLvl)*U$1),CombatantLevelAttributeMod)</f>
        <v>28</v>
      </c>
      <c r="V38" s="1">
        <f>ATTACKDAMAGE(IF(ISEVEN(COLUMN()),$B38,$C38),V$1,INT(IF('equipment-weapons'!$B38="TwoHandedRangedWeapon",RogueDexPerLvl,WarriorStrPerLvl)*V$1),CombatantLevelAttributeMod)</f>
        <v>27</v>
      </c>
      <c r="W38" s="1">
        <f>ATTACKDAMAGE(IF(ISEVEN(COLUMN()),$B38,$C38),W$1,INT(IF('equipment-weapons'!$B38="TwoHandedRangedWeapon",RogueDexPerLvl,WarriorStrPerLvl)*W$1),CombatantLevelAttributeMod)</f>
        <v>32</v>
      </c>
    </row>
    <row r="39" ht="13.5" customHeight="1" spans="1:23" x14ac:dyDescent="0.25">
      <c r="A39" s="4" t="str">
        <f>'equipment-weapons'!A39</f>
        <v>CompositeBow</v>
      </c>
      <c r="B39" s="4">
        <f>'equipment-weapons'!F39</f>
        <v>8</v>
      </c>
      <c r="C39" s="4">
        <f>'equipment-weapons'!G39</f>
        <v>16</v>
      </c>
      <c r="D39" s="1">
        <f>ATTACKDAMAGE(IF(ISEVEN(COLUMN()),$B39,$C39),D$1,INT(IF('equipment-weapons'!$B39="TwoHandedRangedWeapon",RogueDexPerLvl,WarriorStrPerLvl)*D$1),CombatantLevelAttributeMod)</f>
        <v>9</v>
      </c>
      <c r="E39" s="1">
        <f>ATTACKDAMAGE(IF(ISEVEN(COLUMN()),$B39,$C39),E$1,INT(IF('equipment-weapons'!$B39="TwoHandedRangedWeapon",RogueDexPerLvl,WarriorStrPerLvl)*E$1),CombatantLevelAttributeMod)</f>
        <v>17</v>
      </c>
      <c r="F39" s="1">
        <f>ATTACKDAMAGE(IF(ISEVEN(COLUMN()),$B39,$C39),F$1,INT(IF('equipment-weapons'!$B39="TwoHandedRangedWeapon",RogueDexPerLvl,WarriorStrPerLvl)*F$1),CombatantLevelAttributeMod)</f>
        <v>10</v>
      </c>
      <c r="G39" s="1">
        <f>ATTACKDAMAGE(IF(ISEVEN(COLUMN()),$B39,$C39),G$1,INT(IF('equipment-weapons'!$B39="TwoHandedRangedWeapon",RogueDexPerLvl,WarriorStrPerLvl)*G$1),CombatantLevelAttributeMod)</f>
        <v>18</v>
      </c>
      <c r="H39" s="1">
        <f>ATTACKDAMAGE(IF(ISEVEN(COLUMN()),$B39,$C39),H$1,INT(IF('equipment-weapons'!$B39="TwoHandedRangedWeapon",RogueDexPerLvl,WarriorStrPerLvl)*H$1),CombatantLevelAttributeMod)</f>
        <v>12</v>
      </c>
      <c r="I39" s="1">
        <f>ATTACKDAMAGE(IF(ISEVEN(COLUMN()),$B39,$C39),I$1,INT(IF('equipment-weapons'!$B39="TwoHandedRangedWeapon",RogueDexPerLvl,WarriorStrPerLvl)*I$1),CombatantLevelAttributeMod)</f>
        <v>20</v>
      </c>
      <c r="J39" s="1">
        <f>ATTACKDAMAGE(IF(ISEVEN(COLUMN()),$B39,$C39),J$1,INT(IF('equipment-weapons'!$B39="TwoHandedRangedWeapon",RogueDexPerLvl,WarriorStrPerLvl)*J$1),CombatantLevelAttributeMod)</f>
        <v>14</v>
      </c>
      <c r="K39" s="1">
        <f>ATTACKDAMAGE(IF(ISEVEN(COLUMN()),$B39,$C39),K$1,INT(IF('equipment-weapons'!$B39="TwoHandedRangedWeapon",RogueDexPerLvl,WarriorStrPerLvl)*K$1),CombatantLevelAttributeMod)</f>
        <v>22</v>
      </c>
      <c r="L39" s="1">
        <f>ATTACKDAMAGE(IF(ISEVEN(COLUMN()),$B39,$C39),L$1,INT(IF('equipment-weapons'!$B39="TwoHandedRangedWeapon",RogueDexPerLvl,WarriorStrPerLvl)*L$1),CombatantLevelAttributeMod)</f>
        <v>16</v>
      </c>
      <c r="M39" s="1">
        <f>ATTACKDAMAGE(IF(ISEVEN(COLUMN()),$B39,$C39),M$1,INT(IF('equipment-weapons'!$B39="TwoHandedRangedWeapon",RogueDexPerLvl,WarriorStrPerLvl)*M$1),CombatantLevelAttributeMod)</f>
        <v>24</v>
      </c>
      <c r="N39" s="1">
        <f>ATTACKDAMAGE(IF(ISEVEN(COLUMN()),$B39,$C39),N$1,INT(IF('equipment-weapons'!$B39="TwoHandedRangedWeapon",RogueDexPerLvl,WarriorStrPerLvl)*N$1),CombatantLevelAttributeMod)</f>
        <v>18</v>
      </c>
      <c r="O39" s="1">
        <f>ATTACKDAMAGE(IF(ISEVEN(COLUMN()),$B39,$C39),O$1,INT(IF('equipment-weapons'!$B39="TwoHandedRangedWeapon",RogueDexPerLvl,WarriorStrPerLvl)*O$1),CombatantLevelAttributeMod)</f>
        <v>26</v>
      </c>
      <c r="P39" s="1">
        <f>ATTACKDAMAGE(IF(ISEVEN(COLUMN()),$B39,$C39),P$1,INT(IF('equipment-weapons'!$B39="TwoHandedRangedWeapon",RogueDexPerLvl,WarriorStrPerLvl)*P$1),CombatantLevelAttributeMod)</f>
        <v>20</v>
      </c>
      <c r="Q39" s="1">
        <f>ATTACKDAMAGE(IF(ISEVEN(COLUMN()),$B39,$C39),Q$1,INT(IF('equipment-weapons'!$B39="TwoHandedRangedWeapon",RogueDexPerLvl,WarriorStrPerLvl)*Q$1),CombatantLevelAttributeMod)</f>
        <v>28</v>
      </c>
      <c r="R39" s="1">
        <f>ATTACKDAMAGE(IF(ISEVEN(COLUMN()),$B39,$C39),R$1,INT(IF('equipment-weapons'!$B39="TwoHandedRangedWeapon",RogueDexPerLvl,WarriorStrPerLvl)*R$1),CombatantLevelAttributeMod)</f>
        <v>24</v>
      </c>
      <c r="S39" s="1">
        <f>ATTACKDAMAGE(IF(ISEVEN(COLUMN()),$B39,$C39),S$1,INT(IF('equipment-weapons'!$B39="TwoHandedRangedWeapon",RogueDexPerLvl,WarriorStrPerLvl)*S$1),CombatantLevelAttributeMod)</f>
        <v>32</v>
      </c>
      <c r="T39" s="1">
        <f>ATTACKDAMAGE(IF(ISEVEN(COLUMN()),$B39,$C39),T$1,INT(IF('equipment-weapons'!$B39="TwoHandedRangedWeapon",RogueDexPerLvl,WarriorStrPerLvl)*T$1),CombatantLevelAttributeMod)</f>
        <v>26</v>
      </c>
      <c r="U39" s="1">
        <f>ATTACKDAMAGE(IF(ISEVEN(COLUMN()),$B39,$C39),U$1,INT(IF('equipment-weapons'!$B39="TwoHandedRangedWeapon",RogueDexPerLvl,WarriorStrPerLvl)*U$1),CombatantLevelAttributeMod)</f>
        <v>34</v>
      </c>
      <c r="V39" s="1">
        <f>ATTACKDAMAGE(IF(ISEVEN(COLUMN()),$B39,$C39),V$1,INT(IF('equipment-weapons'!$B39="TwoHandedRangedWeapon",RogueDexPerLvl,WarriorStrPerLvl)*V$1),CombatantLevelAttributeMod)</f>
        <v>30</v>
      </c>
      <c r="W39" s="1">
        <f>ATTACKDAMAGE(IF(ISEVEN(COLUMN()),$B39,$C39),W$1,INT(IF('equipment-weapons'!$B39="TwoHandedRangedWeapon",RogueDexPerLvl,WarriorStrPerLvl)*W$1),CombatantLevelAttributeMod)</f>
        <v>38</v>
      </c>
    </row>
    <row r="40" ht="13.5" customHeight="1" spans="1:23" x14ac:dyDescent="0.25">
      <c r="A40" s="4" t="str">
        <f>'equipment-weapons'!A40</f>
        <v>MilitaryBow</v>
      </c>
      <c r="B40" s="4">
        <f>'equipment-weapons'!F40</f>
        <v>12</v>
      </c>
      <c r="C40" s="4">
        <f>'equipment-weapons'!G40</f>
        <v>26</v>
      </c>
      <c r="D40" s="1">
        <f>ATTACKDAMAGE(IF(ISEVEN(COLUMN()),$B40,$C40),D$1,INT(IF('equipment-weapons'!$B40="TwoHandedRangedWeapon",RogueDexPerLvl,WarriorStrPerLvl)*D$1),CombatantLevelAttributeMod)</f>
        <v>13</v>
      </c>
      <c r="E40" s="1">
        <f>ATTACKDAMAGE(IF(ISEVEN(COLUMN()),$B40,$C40),E$1,INT(IF('equipment-weapons'!$B40="TwoHandedRangedWeapon",RogueDexPerLvl,WarriorStrPerLvl)*E$1),CombatantLevelAttributeMod)</f>
        <v>27</v>
      </c>
      <c r="F40" s="1">
        <f>ATTACKDAMAGE(IF(ISEVEN(COLUMN()),$B40,$C40),F$1,INT(IF('equipment-weapons'!$B40="TwoHandedRangedWeapon",RogueDexPerLvl,WarriorStrPerLvl)*F$1),CombatantLevelAttributeMod)</f>
        <v>14</v>
      </c>
      <c r="G40" s="1">
        <f>ATTACKDAMAGE(IF(ISEVEN(COLUMN()),$B40,$C40),G$1,INT(IF('equipment-weapons'!$B40="TwoHandedRangedWeapon",RogueDexPerLvl,WarriorStrPerLvl)*G$1),CombatantLevelAttributeMod)</f>
        <v>28</v>
      </c>
      <c r="H40" s="1">
        <f>ATTACKDAMAGE(IF(ISEVEN(COLUMN()),$B40,$C40),H$1,INT(IF('equipment-weapons'!$B40="TwoHandedRangedWeapon",RogueDexPerLvl,WarriorStrPerLvl)*H$1),CombatantLevelAttributeMod)</f>
        <v>16</v>
      </c>
      <c r="I40" s="1">
        <f>ATTACKDAMAGE(IF(ISEVEN(COLUMN()),$B40,$C40),I$1,INT(IF('equipment-weapons'!$B40="TwoHandedRangedWeapon",RogueDexPerLvl,WarriorStrPerLvl)*I$1),CombatantLevelAttributeMod)</f>
        <v>30</v>
      </c>
      <c r="J40" s="1">
        <f>ATTACKDAMAGE(IF(ISEVEN(COLUMN()),$B40,$C40),J$1,INT(IF('equipment-weapons'!$B40="TwoHandedRangedWeapon",RogueDexPerLvl,WarriorStrPerLvl)*J$1),CombatantLevelAttributeMod)</f>
        <v>18</v>
      </c>
      <c r="K40" s="1">
        <f>ATTACKDAMAGE(IF(ISEVEN(COLUMN()),$B40,$C40),K$1,INT(IF('equipment-weapons'!$B40="TwoHandedRangedWeapon",RogueDexPerLvl,WarriorStrPerLvl)*K$1),CombatantLevelAttributeMod)</f>
        <v>32</v>
      </c>
      <c r="L40" s="1">
        <f>ATTACKDAMAGE(IF(ISEVEN(COLUMN()),$B40,$C40),L$1,INT(IF('equipment-weapons'!$B40="TwoHandedRangedWeapon",RogueDexPerLvl,WarriorStrPerLvl)*L$1),CombatantLevelAttributeMod)</f>
        <v>20</v>
      </c>
      <c r="M40" s="1">
        <f>ATTACKDAMAGE(IF(ISEVEN(COLUMN()),$B40,$C40),M$1,INT(IF('equipment-weapons'!$B40="TwoHandedRangedWeapon",RogueDexPerLvl,WarriorStrPerLvl)*M$1),CombatantLevelAttributeMod)</f>
        <v>34</v>
      </c>
      <c r="N40" s="1">
        <f>ATTACKDAMAGE(IF(ISEVEN(COLUMN()),$B40,$C40),N$1,INT(IF('equipment-weapons'!$B40="TwoHandedRangedWeapon",RogueDexPerLvl,WarriorStrPerLvl)*N$1),CombatantLevelAttributeMod)</f>
        <v>22</v>
      </c>
      <c r="O40" s="1">
        <f>ATTACKDAMAGE(IF(ISEVEN(COLUMN()),$B40,$C40),O$1,INT(IF('equipment-weapons'!$B40="TwoHandedRangedWeapon",RogueDexPerLvl,WarriorStrPerLvl)*O$1),CombatantLevelAttributeMod)</f>
        <v>36</v>
      </c>
      <c r="P40" s="1">
        <f>ATTACKDAMAGE(IF(ISEVEN(COLUMN()),$B40,$C40),P$1,INT(IF('equipment-weapons'!$B40="TwoHandedRangedWeapon",RogueDexPerLvl,WarriorStrPerLvl)*P$1),CombatantLevelAttributeMod)</f>
        <v>24</v>
      </c>
      <c r="Q40" s="1">
        <f>ATTACKDAMAGE(IF(ISEVEN(COLUMN()),$B40,$C40),Q$1,INT(IF('equipment-weapons'!$B40="TwoHandedRangedWeapon",RogueDexPerLvl,WarriorStrPerLvl)*Q$1),CombatantLevelAttributeMod)</f>
        <v>38</v>
      </c>
      <c r="R40" s="1">
        <f>ATTACKDAMAGE(IF(ISEVEN(COLUMN()),$B40,$C40),R$1,INT(IF('equipment-weapons'!$B40="TwoHandedRangedWeapon",RogueDexPerLvl,WarriorStrPerLvl)*R$1),CombatantLevelAttributeMod)</f>
        <v>28</v>
      </c>
      <c r="S40" s="1">
        <f>ATTACKDAMAGE(IF(ISEVEN(COLUMN()),$B40,$C40),S$1,INT(IF('equipment-weapons'!$B40="TwoHandedRangedWeapon",RogueDexPerLvl,WarriorStrPerLvl)*S$1),CombatantLevelAttributeMod)</f>
        <v>42</v>
      </c>
      <c r="T40" s="1">
        <f>ATTACKDAMAGE(IF(ISEVEN(COLUMN()),$B40,$C40),T$1,INT(IF('equipment-weapons'!$B40="TwoHandedRangedWeapon",RogueDexPerLvl,WarriorStrPerLvl)*T$1),CombatantLevelAttributeMod)</f>
        <v>30</v>
      </c>
      <c r="U40" s="1">
        <f>ATTACKDAMAGE(IF(ISEVEN(COLUMN()),$B40,$C40),U$1,INT(IF('equipment-weapons'!$B40="TwoHandedRangedWeapon",RogueDexPerLvl,WarriorStrPerLvl)*U$1),CombatantLevelAttributeMod)</f>
        <v>44</v>
      </c>
      <c r="V40" s="1">
        <f>ATTACKDAMAGE(IF(ISEVEN(COLUMN()),$B40,$C40),V$1,INT(IF('equipment-weapons'!$B40="TwoHandedRangedWeapon",RogueDexPerLvl,WarriorStrPerLvl)*V$1),CombatantLevelAttributeMod)</f>
        <v>34</v>
      </c>
      <c r="W40" s="1">
        <f>ATTACKDAMAGE(IF(ISEVEN(COLUMN()),$B40,$C40),W$1,INT(IF('equipment-weapons'!$B40="TwoHandedRangedWeapon",RogueDexPerLvl,WarriorStrPerLvl)*W$1),CombatantLevelAttributeMod)</f>
        <v>48</v>
      </c>
    </row>
    <row r="41" ht="13.5" customHeight="1" spans="1:23" x14ac:dyDescent="0.25">
      <c r="A41" s="4" t="str">
        <f>'equipment-weapons'!A41</f>
        <v>EtherBow</v>
      </c>
      <c r="B41" s="4">
        <f>'equipment-weapons'!F41</f>
        <v>10</v>
      </c>
      <c r="C41" s="4">
        <f>'equipment-weapons'!G41</f>
        <v>22</v>
      </c>
      <c r="D41" s="1">
        <f>ATTACKDAMAGE(IF(ISEVEN(COLUMN()),$B41,$C41),D$1,INT(IF('equipment-weapons'!$B41="TwoHandedRangedWeapon",RogueDexPerLvl,WarriorStrPerLvl)*D$1),CombatantLevelAttributeMod)</f>
        <v>11</v>
      </c>
      <c r="E41" s="1">
        <f>ATTACKDAMAGE(IF(ISEVEN(COLUMN()),$B41,$C41),E$1,INT(IF('equipment-weapons'!$B41="TwoHandedRangedWeapon",RogueDexPerLvl,WarriorStrPerLvl)*E$1),CombatantLevelAttributeMod)</f>
        <v>23</v>
      </c>
      <c r="F41" s="1">
        <f>ATTACKDAMAGE(IF(ISEVEN(COLUMN()),$B41,$C41),F$1,INT(IF('equipment-weapons'!$B41="TwoHandedRangedWeapon",RogueDexPerLvl,WarriorStrPerLvl)*F$1),CombatantLevelAttributeMod)</f>
        <v>12</v>
      </c>
      <c r="G41" s="1">
        <f>ATTACKDAMAGE(IF(ISEVEN(COLUMN()),$B41,$C41),G$1,INT(IF('equipment-weapons'!$B41="TwoHandedRangedWeapon",RogueDexPerLvl,WarriorStrPerLvl)*G$1),CombatantLevelAttributeMod)</f>
        <v>24</v>
      </c>
      <c r="H41" s="1">
        <f>ATTACKDAMAGE(IF(ISEVEN(COLUMN()),$B41,$C41),H$1,INT(IF('equipment-weapons'!$B41="TwoHandedRangedWeapon",RogueDexPerLvl,WarriorStrPerLvl)*H$1),CombatantLevelAttributeMod)</f>
        <v>14</v>
      </c>
      <c r="I41" s="1">
        <f>ATTACKDAMAGE(IF(ISEVEN(COLUMN()),$B41,$C41),I$1,INT(IF('equipment-weapons'!$B41="TwoHandedRangedWeapon",RogueDexPerLvl,WarriorStrPerLvl)*I$1),CombatantLevelAttributeMod)</f>
        <v>26</v>
      </c>
      <c r="J41" s="1">
        <f>ATTACKDAMAGE(IF(ISEVEN(COLUMN()),$B41,$C41),J$1,INT(IF('equipment-weapons'!$B41="TwoHandedRangedWeapon",RogueDexPerLvl,WarriorStrPerLvl)*J$1),CombatantLevelAttributeMod)</f>
        <v>16</v>
      </c>
      <c r="K41" s="1">
        <f>ATTACKDAMAGE(IF(ISEVEN(COLUMN()),$B41,$C41),K$1,INT(IF('equipment-weapons'!$B41="TwoHandedRangedWeapon",RogueDexPerLvl,WarriorStrPerLvl)*K$1),CombatantLevelAttributeMod)</f>
        <v>28</v>
      </c>
      <c r="L41" s="1">
        <f>ATTACKDAMAGE(IF(ISEVEN(COLUMN()),$B41,$C41),L$1,INT(IF('equipment-weapons'!$B41="TwoHandedRangedWeapon",RogueDexPerLvl,WarriorStrPerLvl)*L$1),CombatantLevelAttributeMod)</f>
        <v>18</v>
      </c>
      <c r="M41" s="1">
        <f>ATTACKDAMAGE(IF(ISEVEN(COLUMN()),$B41,$C41),M$1,INT(IF('equipment-weapons'!$B41="TwoHandedRangedWeapon",RogueDexPerLvl,WarriorStrPerLvl)*M$1),CombatantLevelAttributeMod)</f>
        <v>30</v>
      </c>
      <c r="N41" s="1">
        <f>ATTACKDAMAGE(IF(ISEVEN(COLUMN()),$B41,$C41),N$1,INT(IF('equipment-weapons'!$B41="TwoHandedRangedWeapon",RogueDexPerLvl,WarriorStrPerLvl)*N$1),CombatantLevelAttributeMod)</f>
        <v>20</v>
      </c>
      <c r="O41" s="1">
        <f>ATTACKDAMAGE(IF(ISEVEN(COLUMN()),$B41,$C41),O$1,INT(IF('equipment-weapons'!$B41="TwoHandedRangedWeapon",RogueDexPerLvl,WarriorStrPerLvl)*O$1),CombatantLevelAttributeMod)</f>
        <v>32</v>
      </c>
      <c r="P41" s="1">
        <f>ATTACKDAMAGE(IF(ISEVEN(COLUMN()),$B41,$C41),P$1,INT(IF('equipment-weapons'!$B41="TwoHandedRangedWeapon",RogueDexPerLvl,WarriorStrPerLvl)*P$1),CombatantLevelAttributeMod)</f>
        <v>22</v>
      </c>
      <c r="Q41" s="1">
        <f>ATTACKDAMAGE(IF(ISEVEN(COLUMN()),$B41,$C41),Q$1,INT(IF('equipment-weapons'!$B41="TwoHandedRangedWeapon",RogueDexPerLvl,WarriorStrPerLvl)*Q$1),CombatantLevelAttributeMod)</f>
        <v>34</v>
      </c>
      <c r="R41" s="1">
        <f>ATTACKDAMAGE(IF(ISEVEN(COLUMN()),$B41,$C41),R$1,INT(IF('equipment-weapons'!$B41="TwoHandedRangedWeapon",RogueDexPerLvl,WarriorStrPerLvl)*R$1),CombatantLevelAttributeMod)</f>
        <v>26</v>
      </c>
      <c r="S41" s="1">
        <f>ATTACKDAMAGE(IF(ISEVEN(COLUMN()),$B41,$C41),S$1,INT(IF('equipment-weapons'!$B41="TwoHandedRangedWeapon",RogueDexPerLvl,WarriorStrPerLvl)*S$1),CombatantLevelAttributeMod)</f>
        <v>38</v>
      </c>
      <c r="T41" s="1">
        <f>ATTACKDAMAGE(IF(ISEVEN(COLUMN()),$B41,$C41),T$1,INT(IF('equipment-weapons'!$B41="TwoHandedRangedWeapon",RogueDexPerLvl,WarriorStrPerLvl)*T$1),CombatantLevelAttributeMod)</f>
        <v>28</v>
      </c>
      <c r="U41" s="1">
        <f>ATTACKDAMAGE(IF(ISEVEN(COLUMN()),$B41,$C41),U$1,INT(IF('equipment-weapons'!$B41="TwoHandedRangedWeapon",RogueDexPerLvl,WarriorStrPerLvl)*U$1),CombatantLevelAttributeMod)</f>
        <v>40</v>
      </c>
      <c r="V41" s="1">
        <f>ATTACKDAMAGE(IF(ISEVEN(COLUMN()),$B41,$C41),V$1,INT(IF('equipment-weapons'!$B41="TwoHandedRangedWeapon",RogueDexPerLvl,WarriorStrPerLvl)*V$1),CombatantLevelAttributeMod)</f>
        <v>32</v>
      </c>
      <c r="W41" s="1">
        <f>ATTACKDAMAGE(IF(ISEVEN(COLUMN()),$B41,$C41),W$1,INT(IF('equipment-weapons'!$B41="TwoHandedRangedWeapon",RogueDexPerLvl,WarriorStrPerLvl)*W$1),CombatantLevelAttributeMod)</f>
        <v>44</v>
      </c>
    </row>
    <row r="43" spans="1:23" x14ac:dyDescent="0.25">
      <c r="A43" s="1" t="s">
        <v>2</v>
      </c>
      <c r="B43" s="2" t="s">
        <v>0</v>
      </c>
      <c r="C43" s="2" t="s">
        <v>1</v>
      </c>
      <c r="D43" s="2">
        <v>1</v>
      </c>
      <c r="E43" s="2">
        <v>1</v>
      </c>
      <c r="F43" s="2">
        <v>2</v>
      </c>
      <c r="G43" s="2">
        <v>2</v>
      </c>
      <c r="H43" s="2">
        <v>3</v>
      </c>
      <c r="I43" s="2">
        <v>3</v>
      </c>
      <c r="J43" s="2">
        <v>4</v>
      </c>
      <c r="K43" s="2">
        <v>4</v>
      </c>
      <c r="L43" s="2">
        <v>5</v>
      </c>
      <c r="M43" s="2">
        <v>5</v>
      </c>
      <c r="N43" s="2">
        <v>6</v>
      </c>
      <c r="O43" s="2">
        <v>6</v>
      </c>
      <c r="P43" s="2">
        <v>7</v>
      </c>
      <c r="Q43" s="2">
        <v>7</v>
      </c>
      <c r="R43" s="2">
        <v>8</v>
      </c>
      <c r="S43" s="2">
        <v>8</v>
      </c>
      <c r="T43" s="2">
        <v>9</v>
      </c>
      <c r="U43" s="2">
        <v>9</v>
      </c>
      <c r="V43" s="2">
        <v>10</v>
      </c>
      <c r="W43" s="2">
        <v>10</v>
      </c>
    </row>
    <row r="44" spans="1:23" x14ac:dyDescent="0.25">
      <c r="A44" s="3">
        <f>'equipment-weapons'!A2</f>
      </c>
      <c r="B44" s="3">
        <f>'equipment-weapons'!F2</f>
      </c>
      <c r="C44" s="3">
        <f>'equipment-weapons'!G2</f>
      </c>
      <c r="D44" s="1">
        <f>ATTACKDAMAGE(IF(ISEVEN(COLUMN()),$B44,$C44),D$43,INT(balancing!$B$41/balancing!$B$33*D$43),CombatantLevelAttributeMod)</f>
      </c>
      <c r="E44" s="1">
        <f>ATTACKDAMAGE(IF(ISEVEN(COLUMN()),$B44,$C44),E$43,INT(balancing!$B$41/balancing!$B$33*E$43),CombatantLevelAttributeMod)</f>
      </c>
      <c r="F44" s="1">
        <f>ATTACKDAMAGE(IF(ISEVEN(COLUMN()),$B44,$C44),F$43,INT(balancing!$B$41/balancing!$B$33*F$43),CombatantLevelAttributeMod)</f>
      </c>
      <c r="G44" s="1">
        <f>ATTACKDAMAGE(IF(ISEVEN(COLUMN()),$B44,$C44),G$43,INT(balancing!$B$41/balancing!$B$33*G$43),CombatantLevelAttributeMod)</f>
      </c>
      <c r="H44" s="1">
        <f>ATTACKDAMAGE(IF(ISEVEN(COLUMN()),$B44,$C44),H$43,INT(balancing!$B$41/balancing!$B$33*H$43),CombatantLevelAttributeMod)</f>
      </c>
      <c r="I44" s="1">
        <f>ATTACKDAMAGE(IF(ISEVEN(COLUMN()),$B44,$C44),I$43,INT(balancing!$B$41/balancing!$B$33*I$43),CombatantLevelAttributeMod)</f>
      </c>
      <c r="J44" s="1">
        <f>ATTACKDAMAGE(IF(ISEVEN(COLUMN()),$B44,$C44),J$43,INT(balancing!$B$41/balancing!$B$33*J$43),CombatantLevelAttributeMod)</f>
      </c>
      <c r="K44" s="1">
        <f>ATTACKDAMAGE(IF(ISEVEN(COLUMN()),$B44,$C44),K$43,INT(balancing!$B$41/balancing!$B$33*K$43),CombatantLevelAttributeMod)</f>
      </c>
      <c r="L44" s="1">
        <f>ATTACKDAMAGE(IF(ISEVEN(COLUMN()),$B44,$C44),L$43,INT(balancing!$B$41/balancing!$B$33*L$43),CombatantLevelAttributeMod)</f>
      </c>
      <c r="M44" s="1">
        <f>ATTACKDAMAGE(IF(ISEVEN(COLUMN()),$B44,$C44),M$43,INT(balancing!$B$41/balancing!$B$33*M$43),CombatantLevelAttributeMod)</f>
      </c>
      <c r="N44" s="1">
        <f>ATTACKDAMAGE(IF(ISEVEN(COLUMN()),$B44,$C44),N$43,INT(balancing!$B$41/balancing!$B$33*N$43),CombatantLevelAttributeMod)</f>
      </c>
      <c r="O44" s="1">
        <f>ATTACKDAMAGE(IF(ISEVEN(COLUMN()),$B44,$C44),O$43,INT(balancing!$B$41/balancing!$B$33*O$43),CombatantLevelAttributeMod)</f>
      </c>
      <c r="P44" s="1">
        <f>ATTACKDAMAGE(IF(ISEVEN(COLUMN()),$B44,$C44),P$43,INT(balancing!$B$41/balancing!$B$33*P$43),CombatantLevelAttributeMod)</f>
      </c>
      <c r="Q44" s="1">
        <f>ATTACKDAMAGE(IF(ISEVEN(COLUMN()),$B44,$C44),Q$43,INT(balancing!$B$41/balancing!$B$33*Q$43),CombatantLevelAttributeMod)</f>
      </c>
      <c r="R44" s="1">
        <f>ATTACKDAMAGE(IF(ISEVEN(COLUMN()),$B44,$C44),R$43,INT(balancing!$B$41/balancing!$B$33*R$43),CombatantLevelAttributeMod)</f>
      </c>
      <c r="S44" s="1">
        <f>ATTACKDAMAGE(IF(ISEVEN(COLUMN()),$B44,$C44),S$43,INT(balancing!$B$41/balancing!$B$33*S$43),CombatantLevelAttributeMod)</f>
      </c>
      <c r="T44" s="1">
        <f>ATTACKDAMAGE(IF(ISEVEN(COLUMN()),$B44,$C44),T$43,INT(balancing!$B$41/balancing!$B$33*T$43),CombatantLevelAttributeMod)</f>
      </c>
      <c r="U44" s="1">
        <f>ATTACKDAMAGE(IF(ISEVEN(COLUMN()),$B44,$C44),U$43,INT(balancing!$B$41/balancing!$B$33*U$43),CombatantLevelAttributeMod)</f>
      </c>
      <c r="V44" s="1">
        <f>ATTACKDAMAGE(IF(ISEVEN(COLUMN()),$B44,$C44),V$43,INT(balancing!$B$41/balancing!$B$33*V$43),CombatantLevelAttributeMod)</f>
      </c>
      <c r="W44" s="1">
        <f>ATTACKDAMAGE(IF(ISEVEN(COLUMN()),$B44,$C44),W$43,INT(balancing!$B$41/balancing!$B$33*W$43),CombatantLevelAttributeMod)</f>
      </c>
    </row>
    <row r="45" spans="1:23" x14ac:dyDescent="0.25">
      <c r="A45" s="3">
        <f>'equipment-weapons'!A3</f>
      </c>
      <c r="B45" s="3">
        <f>'equipment-weapons'!F3</f>
      </c>
      <c r="C45" s="3">
        <f>'equipment-weapons'!G3</f>
      </c>
      <c r="D45" s="1">
        <f>ATTACKDAMAGE(IF(ISEVEN(COLUMN()),$B45,$C45),D$43,INT(balancing!$B$41/balancing!$B$33*D$43),CombatantLevelAttributeMod)</f>
      </c>
      <c r="E45" s="1">
        <f>ATTACKDAMAGE(IF(ISEVEN(COLUMN()),$B45,$C45),E$43,INT(balancing!$B$41/balancing!$B$33*E$43),CombatantLevelAttributeMod)</f>
      </c>
      <c r="F45" s="1">
        <f>ATTACKDAMAGE(IF(ISEVEN(COLUMN()),$B45,$C45),F$43,INT(balancing!$B$41/balancing!$B$33*F$43),CombatantLevelAttributeMod)</f>
      </c>
      <c r="G45" s="1">
        <f>ATTACKDAMAGE(IF(ISEVEN(COLUMN()),$B45,$C45),G$43,INT(balancing!$B$41/balancing!$B$33*G$43),CombatantLevelAttributeMod)</f>
      </c>
      <c r="H45" s="1">
        <f>ATTACKDAMAGE(IF(ISEVEN(COLUMN()),$B45,$C45),H$43,INT(balancing!$B$41/balancing!$B$33*H$43),CombatantLevelAttributeMod)</f>
      </c>
      <c r="I45" s="1">
        <f>ATTACKDAMAGE(IF(ISEVEN(COLUMN()),$B45,$C45),I$43,INT(balancing!$B$41/balancing!$B$33*I$43),CombatantLevelAttributeMod)</f>
      </c>
      <c r="J45" s="1">
        <f>ATTACKDAMAGE(IF(ISEVEN(COLUMN()),$B45,$C45),J$43,INT(balancing!$B$41/balancing!$B$33*J$43),CombatantLevelAttributeMod)</f>
      </c>
      <c r="K45" s="1">
        <f>ATTACKDAMAGE(IF(ISEVEN(COLUMN()),$B45,$C45),K$43,INT(balancing!$B$41/balancing!$B$33*K$43),CombatantLevelAttributeMod)</f>
      </c>
      <c r="L45" s="1">
        <f>ATTACKDAMAGE(IF(ISEVEN(COLUMN()),$B45,$C45),L$43,INT(balancing!$B$41/balancing!$B$33*L$43),CombatantLevelAttributeMod)</f>
      </c>
      <c r="M45" s="1">
        <f>ATTACKDAMAGE(IF(ISEVEN(COLUMN()),$B45,$C45),M$43,INT(balancing!$B$41/balancing!$B$33*M$43),CombatantLevelAttributeMod)</f>
      </c>
      <c r="N45" s="1">
        <f>ATTACKDAMAGE(IF(ISEVEN(COLUMN()),$B45,$C45),N$43,INT(balancing!$B$41/balancing!$B$33*N$43),CombatantLevelAttributeMod)</f>
      </c>
      <c r="O45" s="1">
        <f>ATTACKDAMAGE(IF(ISEVEN(COLUMN()),$B45,$C45),O$43,INT(balancing!$B$41/balancing!$B$33*O$43),CombatantLevelAttributeMod)</f>
      </c>
      <c r="P45" s="1">
        <f>ATTACKDAMAGE(IF(ISEVEN(COLUMN()),$B45,$C45),P$43,INT(balancing!$B$41/balancing!$B$33*P$43),CombatantLevelAttributeMod)</f>
      </c>
      <c r="Q45" s="1">
        <f>ATTACKDAMAGE(IF(ISEVEN(COLUMN()),$B45,$C45),Q$43,INT(balancing!$B$41/balancing!$B$33*Q$43),CombatantLevelAttributeMod)</f>
      </c>
      <c r="R45" s="1">
        <f>ATTACKDAMAGE(IF(ISEVEN(COLUMN()),$B45,$C45),R$43,INT(balancing!$B$41/balancing!$B$33*R$43),CombatantLevelAttributeMod)</f>
      </c>
      <c r="S45" s="1">
        <f>ATTACKDAMAGE(IF(ISEVEN(COLUMN()),$B45,$C45),S$43,INT(balancing!$B$41/balancing!$B$33*S$43),CombatantLevelAttributeMod)</f>
      </c>
      <c r="T45" s="1">
        <f>ATTACKDAMAGE(IF(ISEVEN(COLUMN()),$B45,$C45),T$43,INT(balancing!$B$41/balancing!$B$33*T$43),CombatantLevelAttributeMod)</f>
      </c>
      <c r="U45" s="1">
        <f>ATTACKDAMAGE(IF(ISEVEN(COLUMN()),$B45,$C45),U$43,INT(balancing!$B$41/balancing!$B$33*U$43),CombatantLevelAttributeMod)</f>
      </c>
      <c r="V45" s="1">
        <f>ATTACKDAMAGE(IF(ISEVEN(COLUMN()),$B45,$C45),V$43,INT(balancing!$B$41/balancing!$B$33*V$43),CombatantLevelAttributeMod)</f>
      </c>
      <c r="W45" s="1">
        <f>ATTACKDAMAGE(IF(ISEVEN(COLUMN()),$B45,$C45),W$43,INT(balancing!$B$41/balancing!$B$33*W$43),CombatantLevelAttributeMod)</f>
      </c>
    </row>
    <row r="46" spans="1:23" x14ac:dyDescent="0.25">
      <c r="A46" s="3">
        <f>'equipment-weapons'!A4</f>
      </c>
      <c r="B46" s="3">
        <f>'equipment-weapons'!F4</f>
      </c>
      <c r="C46" s="3">
        <f>'equipment-weapons'!G4</f>
      </c>
      <c r="D46" s="1">
        <f>ATTACKDAMAGE(IF(ISEVEN(COLUMN()),$B46,$C46),D$43,INT(balancing!$B$41/balancing!$B$33*D$43),CombatantLevelAttributeMod)</f>
      </c>
      <c r="E46" s="1">
        <f>ATTACKDAMAGE(IF(ISEVEN(COLUMN()),$B46,$C46),E$43,INT(balancing!$B$41/balancing!$B$33*E$43),CombatantLevelAttributeMod)</f>
      </c>
      <c r="F46" s="1">
        <f>ATTACKDAMAGE(IF(ISEVEN(COLUMN()),$B46,$C46),F$43,INT(balancing!$B$41/balancing!$B$33*F$43),CombatantLevelAttributeMod)</f>
      </c>
      <c r="G46" s="1">
        <f>ATTACKDAMAGE(IF(ISEVEN(COLUMN()),$B46,$C46),G$43,INT(balancing!$B$41/balancing!$B$33*G$43),CombatantLevelAttributeMod)</f>
      </c>
      <c r="H46" s="1">
        <f>ATTACKDAMAGE(IF(ISEVEN(COLUMN()),$B46,$C46),H$43,INT(balancing!$B$41/balancing!$B$33*H$43),CombatantLevelAttributeMod)</f>
      </c>
      <c r="I46" s="1">
        <f>ATTACKDAMAGE(IF(ISEVEN(COLUMN()),$B46,$C46),I$43,INT(balancing!$B$41/balancing!$B$33*I$43),CombatantLevelAttributeMod)</f>
      </c>
      <c r="J46" s="1">
        <f>ATTACKDAMAGE(IF(ISEVEN(COLUMN()),$B46,$C46),J$43,INT(balancing!$B$41/balancing!$B$33*J$43),CombatantLevelAttributeMod)</f>
      </c>
      <c r="K46" s="1">
        <f>ATTACKDAMAGE(IF(ISEVEN(COLUMN()),$B46,$C46),K$43,INT(balancing!$B$41/balancing!$B$33*K$43),CombatantLevelAttributeMod)</f>
      </c>
      <c r="L46" s="1">
        <f>ATTACKDAMAGE(IF(ISEVEN(COLUMN()),$B46,$C46),L$43,INT(balancing!$B$41/balancing!$B$33*L$43),CombatantLevelAttributeMod)</f>
      </c>
      <c r="M46" s="1">
        <f>ATTACKDAMAGE(IF(ISEVEN(COLUMN()),$B46,$C46),M$43,INT(balancing!$B$41/balancing!$B$33*M$43),CombatantLevelAttributeMod)</f>
      </c>
      <c r="N46" s="1">
        <f>ATTACKDAMAGE(IF(ISEVEN(COLUMN()),$B46,$C46),N$43,INT(balancing!$B$41/balancing!$B$33*N$43),CombatantLevelAttributeMod)</f>
      </c>
      <c r="O46" s="1">
        <f>ATTACKDAMAGE(IF(ISEVEN(COLUMN()),$B46,$C46),O$43,INT(balancing!$B$41/balancing!$B$33*O$43),CombatantLevelAttributeMod)</f>
      </c>
      <c r="P46" s="1">
        <f>ATTACKDAMAGE(IF(ISEVEN(COLUMN()),$B46,$C46),P$43,INT(balancing!$B$41/balancing!$B$33*P$43),CombatantLevelAttributeMod)</f>
      </c>
      <c r="Q46" s="1">
        <f>ATTACKDAMAGE(IF(ISEVEN(COLUMN()),$B46,$C46),Q$43,INT(balancing!$B$41/balancing!$B$33*Q$43),CombatantLevelAttributeMod)</f>
      </c>
      <c r="R46" s="1">
        <f>ATTACKDAMAGE(IF(ISEVEN(COLUMN()),$B46,$C46),R$43,INT(balancing!$B$41/balancing!$B$33*R$43),CombatantLevelAttributeMod)</f>
      </c>
      <c r="S46" s="1">
        <f>ATTACKDAMAGE(IF(ISEVEN(COLUMN()),$B46,$C46),S$43,INT(balancing!$B$41/balancing!$B$33*S$43),CombatantLevelAttributeMod)</f>
      </c>
      <c r="T46" s="1">
        <f>ATTACKDAMAGE(IF(ISEVEN(COLUMN()),$B46,$C46),T$43,INT(balancing!$B$41/balancing!$B$33*T$43),CombatantLevelAttributeMod)</f>
      </c>
      <c r="U46" s="1">
        <f>ATTACKDAMAGE(IF(ISEVEN(COLUMN()),$B46,$C46),U$43,INT(balancing!$B$41/balancing!$B$33*U$43),CombatantLevelAttributeMod)</f>
      </c>
      <c r="V46" s="1">
        <f>ATTACKDAMAGE(IF(ISEVEN(COLUMN()),$B46,$C46),V$43,INT(balancing!$B$41/balancing!$B$33*V$43),CombatantLevelAttributeMod)</f>
      </c>
      <c r="W46" s="1">
        <f>ATTACKDAMAGE(IF(ISEVEN(COLUMN()),$B46,$C46),W$43,INT(balancing!$B$41/balancing!$B$33*W$43),CombatantLevelAttributeMod)</f>
      </c>
    </row>
    <row r="47" spans="1:23" x14ac:dyDescent="0.25">
      <c r="A47" s="3">
        <f>'equipment-weapons'!A5</f>
      </c>
      <c r="B47" s="3">
        <f>'equipment-weapons'!F5</f>
      </c>
      <c r="C47" s="3">
        <f>'equipment-weapons'!G5</f>
      </c>
      <c r="D47" s="1">
        <f>ATTACKDAMAGE(IF(ISEVEN(COLUMN()),$B47,$C47),D$43,INT(balancing!$B$41/balancing!$B$33*D$43),CombatantLevelAttributeMod)</f>
      </c>
      <c r="E47" s="1">
        <f>ATTACKDAMAGE(IF(ISEVEN(COLUMN()),$B47,$C47),E$43,INT(balancing!$B$41/balancing!$B$33*E$43),CombatantLevelAttributeMod)</f>
      </c>
      <c r="F47" s="1">
        <f>ATTACKDAMAGE(IF(ISEVEN(COLUMN()),$B47,$C47),F$43,INT(balancing!$B$41/balancing!$B$33*F$43),CombatantLevelAttributeMod)</f>
      </c>
      <c r="G47" s="1">
        <f>ATTACKDAMAGE(IF(ISEVEN(COLUMN()),$B47,$C47),G$43,INT(balancing!$B$41/balancing!$B$33*G$43),CombatantLevelAttributeMod)</f>
      </c>
      <c r="H47" s="1">
        <f>ATTACKDAMAGE(IF(ISEVEN(COLUMN()),$B47,$C47),H$43,INT(balancing!$B$41/balancing!$B$33*H$43),CombatantLevelAttributeMod)</f>
      </c>
      <c r="I47" s="1">
        <f>ATTACKDAMAGE(IF(ISEVEN(COLUMN()),$B47,$C47),I$43,INT(balancing!$B$41/balancing!$B$33*I$43),CombatantLevelAttributeMod)</f>
      </c>
      <c r="J47" s="1">
        <f>ATTACKDAMAGE(IF(ISEVEN(COLUMN()),$B47,$C47),J$43,INT(balancing!$B$41/balancing!$B$33*J$43),CombatantLevelAttributeMod)</f>
      </c>
      <c r="K47" s="1">
        <f>ATTACKDAMAGE(IF(ISEVEN(COLUMN()),$B47,$C47),K$43,INT(balancing!$B$41/balancing!$B$33*K$43),CombatantLevelAttributeMod)</f>
      </c>
      <c r="L47" s="1">
        <f>ATTACKDAMAGE(IF(ISEVEN(COLUMN()),$B47,$C47),L$43,INT(balancing!$B$41/balancing!$B$33*L$43),CombatantLevelAttributeMod)</f>
      </c>
      <c r="M47" s="1">
        <f>ATTACKDAMAGE(IF(ISEVEN(COLUMN()),$B47,$C47),M$43,INT(balancing!$B$41/balancing!$B$33*M$43),CombatantLevelAttributeMod)</f>
      </c>
      <c r="N47" s="1">
        <f>ATTACKDAMAGE(IF(ISEVEN(COLUMN()),$B47,$C47),N$43,INT(balancing!$B$41/balancing!$B$33*N$43),CombatantLevelAttributeMod)</f>
      </c>
      <c r="O47" s="1">
        <f>ATTACKDAMAGE(IF(ISEVEN(COLUMN()),$B47,$C47),O$43,INT(balancing!$B$41/balancing!$B$33*O$43),CombatantLevelAttributeMod)</f>
      </c>
      <c r="P47" s="1">
        <f>ATTACKDAMAGE(IF(ISEVEN(COLUMN()),$B47,$C47),P$43,INT(balancing!$B$41/balancing!$B$33*P$43),CombatantLevelAttributeMod)</f>
      </c>
      <c r="Q47" s="1">
        <f>ATTACKDAMAGE(IF(ISEVEN(COLUMN()),$B47,$C47),Q$43,INT(balancing!$B$41/balancing!$B$33*Q$43),CombatantLevelAttributeMod)</f>
      </c>
      <c r="R47" s="1">
        <f>ATTACKDAMAGE(IF(ISEVEN(COLUMN()),$B47,$C47),R$43,INT(balancing!$B$41/balancing!$B$33*R$43),CombatantLevelAttributeMod)</f>
      </c>
      <c r="S47" s="1">
        <f>ATTACKDAMAGE(IF(ISEVEN(COLUMN()),$B47,$C47),S$43,INT(balancing!$B$41/balancing!$B$33*S$43),CombatantLevelAttributeMod)</f>
      </c>
      <c r="T47" s="1">
        <f>ATTACKDAMAGE(IF(ISEVEN(COLUMN()),$B47,$C47),T$43,INT(balancing!$B$41/balancing!$B$33*T$43),CombatantLevelAttributeMod)</f>
      </c>
      <c r="U47" s="1">
        <f>ATTACKDAMAGE(IF(ISEVEN(COLUMN()),$B47,$C47),U$43,INT(balancing!$B$41/balancing!$B$33*U$43),CombatantLevelAttributeMod)</f>
      </c>
      <c r="V47" s="1">
        <f>ATTACKDAMAGE(IF(ISEVEN(COLUMN()),$B47,$C47),V$43,INT(balancing!$B$41/balancing!$B$33*V$43),CombatantLevelAttributeMod)</f>
      </c>
      <c r="W47" s="1">
        <f>ATTACKDAMAGE(IF(ISEVEN(COLUMN()),$B47,$C47),W$43,INT(balancing!$B$41/balancing!$B$33*W$43),CombatantLevelAttributeMod)</f>
      </c>
    </row>
    <row r="48" spans="1:23" x14ac:dyDescent="0.25">
      <c r="A48" s="3">
        <f>'equipment-weapons'!A6</f>
      </c>
      <c r="B48" s="3">
        <f>'equipment-weapons'!F6</f>
      </c>
      <c r="C48" s="3">
        <f>'equipment-weapons'!G6</f>
      </c>
      <c r="D48" s="1">
        <f>ATTACKDAMAGE(IF(ISEVEN(COLUMN()),$B48,$C48),D$43,INT(balancing!$B$41/balancing!$B$33*D$43),CombatantLevelAttributeMod)</f>
      </c>
      <c r="E48" s="1">
        <f>ATTACKDAMAGE(IF(ISEVEN(COLUMN()),$B48,$C48),E$43,INT(balancing!$B$41/balancing!$B$33*E$43),CombatantLevelAttributeMod)</f>
      </c>
      <c r="F48" s="1">
        <f>ATTACKDAMAGE(IF(ISEVEN(COLUMN()),$B48,$C48),F$43,INT(balancing!$B$41/balancing!$B$33*F$43),CombatantLevelAttributeMod)</f>
      </c>
      <c r="G48" s="1">
        <f>ATTACKDAMAGE(IF(ISEVEN(COLUMN()),$B48,$C48),G$43,INT(balancing!$B$41/balancing!$B$33*G$43),CombatantLevelAttributeMod)</f>
      </c>
      <c r="H48" s="1">
        <f>ATTACKDAMAGE(IF(ISEVEN(COLUMN()),$B48,$C48),H$43,INT(balancing!$B$41/balancing!$B$33*H$43),CombatantLevelAttributeMod)</f>
      </c>
      <c r="I48" s="1">
        <f>ATTACKDAMAGE(IF(ISEVEN(COLUMN()),$B48,$C48),I$43,INT(balancing!$B$41/balancing!$B$33*I$43),CombatantLevelAttributeMod)</f>
      </c>
      <c r="J48" s="1">
        <f>ATTACKDAMAGE(IF(ISEVEN(COLUMN()),$B48,$C48),J$43,INT(balancing!$B$41/balancing!$B$33*J$43),CombatantLevelAttributeMod)</f>
      </c>
      <c r="K48" s="1">
        <f>ATTACKDAMAGE(IF(ISEVEN(COLUMN()),$B48,$C48),K$43,INT(balancing!$B$41/balancing!$B$33*K$43),CombatantLevelAttributeMod)</f>
      </c>
      <c r="L48" s="1">
        <f>ATTACKDAMAGE(IF(ISEVEN(COLUMN()),$B48,$C48),L$43,INT(balancing!$B$41/balancing!$B$33*L$43),CombatantLevelAttributeMod)</f>
      </c>
      <c r="M48" s="1">
        <f>ATTACKDAMAGE(IF(ISEVEN(COLUMN()),$B48,$C48),M$43,INT(balancing!$B$41/balancing!$B$33*M$43),CombatantLevelAttributeMod)</f>
      </c>
      <c r="N48" s="1">
        <f>ATTACKDAMAGE(IF(ISEVEN(COLUMN()),$B48,$C48),N$43,INT(balancing!$B$41/balancing!$B$33*N$43),CombatantLevelAttributeMod)</f>
      </c>
      <c r="O48" s="1">
        <f>ATTACKDAMAGE(IF(ISEVEN(COLUMN()),$B48,$C48),O$43,INT(balancing!$B$41/balancing!$B$33*O$43),CombatantLevelAttributeMod)</f>
      </c>
      <c r="P48" s="1">
        <f>ATTACKDAMAGE(IF(ISEVEN(COLUMN()),$B48,$C48),P$43,INT(balancing!$B$41/balancing!$B$33*P$43),CombatantLevelAttributeMod)</f>
      </c>
      <c r="Q48" s="1">
        <f>ATTACKDAMAGE(IF(ISEVEN(COLUMN()),$B48,$C48),Q$43,INT(balancing!$B$41/balancing!$B$33*Q$43),CombatantLevelAttributeMod)</f>
      </c>
      <c r="R48" s="1">
        <f>ATTACKDAMAGE(IF(ISEVEN(COLUMN()),$B48,$C48),R$43,INT(balancing!$B$41/balancing!$B$33*R$43),CombatantLevelAttributeMod)</f>
      </c>
      <c r="S48" s="1">
        <f>ATTACKDAMAGE(IF(ISEVEN(COLUMN()),$B48,$C48),S$43,INT(balancing!$B$41/balancing!$B$33*S$43),CombatantLevelAttributeMod)</f>
      </c>
      <c r="T48" s="1">
        <f>ATTACKDAMAGE(IF(ISEVEN(COLUMN()),$B48,$C48),T$43,INT(balancing!$B$41/balancing!$B$33*T$43),CombatantLevelAttributeMod)</f>
      </c>
      <c r="U48" s="1">
        <f>ATTACKDAMAGE(IF(ISEVEN(COLUMN()),$B48,$C48),U$43,INT(balancing!$B$41/balancing!$B$33*U$43),CombatantLevelAttributeMod)</f>
      </c>
      <c r="V48" s="1">
        <f>ATTACKDAMAGE(IF(ISEVEN(COLUMN()),$B48,$C48),V$43,INT(balancing!$B$41/balancing!$B$33*V$43),CombatantLevelAttributeMod)</f>
      </c>
      <c r="W48" s="1">
        <f>ATTACKDAMAGE(IF(ISEVEN(COLUMN()),$B48,$C48),W$43,INT(balancing!$B$41/balancing!$B$33*W$43),CombatantLevelAttributeMod)</f>
      </c>
    </row>
    <row r="49" spans="1:23" x14ac:dyDescent="0.25">
      <c r="A49" s="3">
        <f>'equipment-weapons'!A7</f>
      </c>
      <c r="B49" s="3">
        <f>'equipment-weapons'!F7</f>
      </c>
      <c r="C49" s="3">
        <f>'equipment-weapons'!G7</f>
      </c>
      <c r="D49" s="1">
        <f>ATTACKDAMAGE(IF(ISEVEN(COLUMN()),$B49,$C49),D$43,INT(balancing!$B$41/balancing!$B$33*D$43),CombatantLevelAttributeMod)</f>
      </c>
      <c r="E49" s="1">
        <f>ATTACKDAMAGE(IF(ISEVEN(COLUMN()),$B49,$C49),E$43,INT(balancing!$B$41/balancing!$B$33*E$43),CombatantLevelAttributeMod)</f>
      </c>
      <c r="F49" s="1">
        <f>ATTACKDAMAGE(IF(ISEVEN(COLUMN()),$B49,$C49),F$43,INT(balancing!$B$41/balancing!$B$33*F$43),CombatantLevelAttributeMod)</f>
      </c>
      <c r="G49" s="1">
        <f>ATTACKDAMAGE(IF(ISEVEN(COLUMN()),$B49,$C49),G$43,INT(balancing!$B$41/balancing!$B$33*G$43),CombatantLevelAttributeMod)</f>
      </c>
      <c r="H49" s="1">
        <f>ATTACKDAMAGE(IF(ISEVEN(COLUMN()),$B49,$C49),H$43,INT(balancing!$B$41/balancing!$B$33*H$43),CombatantLevelAttributeMod)</f>
      </c>
      <c r="I49" s="1">
        <f>ATTACKDAMAGE(IF(ISEVEN(COLUMN()),$B49,$C49),I$43,INT(balancing!$B$41/balancing!$B$33*I$43),CombatantLevelAttributeMod)</f>
      </c>
      <c r="J49" s="1">
        <f>ATTACKDAMAGE(IF(ISEVEN(COLUMN()),$B49,$C49),J$43,INT(balancing!$B$41/balancing!$B$33*J$43),CombatantLevelAttributeMod)</f>
      </c>
      <c r="K49" s="1">
        <f>ATTACKDAMAGE(IF(ISEVEN(COLUMN()),$B49,$C49),K$43,INT(balancing!$B$41/balancing!$B$33*K$43),CombatantLevelAttributeMod)</f>
      </c>
      <c r="L49" s="1">
        <f>ATTACKDAMAGE(IF(ISEVEN(COLUMN()),$B49,$C49),L$43,INT(balancing!$B$41/balancing!$B$33*L$43),CombatantLevelAttributeMod)</f>
      </c>
      <c r="M49" s="1">
        <f>ATTACKDAMAGE(IF(ISEVEN(COLUMN()),$B49,$C49),M$43,INT(balancing!$B$41/balancing!$B$33*M$43),CombatantLevelAttributeMod)</f>
      </c>
      <c r="N49" s="1">
        <f>ATTACKDAMAGE(IF(ISEVEN(COLUMN()),$B49,$C49),N$43,INT(balancing!$B$41/balancing!$B$33*N$43),CombatantLevelAttributeMod)</f>
      </c>
      <c r="O49" s="1">
        <f>ATTACKDAMAGE(IF(ISEVEN(COLUMN()),$B49,$C49),O$43,INT(balancing!$B$41/balancing!$B$33*O$43),CombatantLevelAttributeMod)</f>
      </c>
      <c r="P49" s="1">
        <f>ATTACKDAMAGE(IF(ISEVEN(COLUMN()),$B49,$C49),P$43,INT(balancing!$B$41/balancing!$B$33*P$43),CombatantLevelAttributeMod)</f>
      </c>
      <c r="Q49" s="1">
        <f>ATTACKDAMAGE(IF(ISEVEN(COLUMN()),$B49,$C49),Q$43,INT(balancing!$B$41/balancing!$B$33*Q$43),CombatantLevelAttributeMod)</f>
      </c>
      <c r="R49" s="1">
        <f>ATTACKDAMAGE(IF(ISEVEN(COLUMN()),$B49,$C49),R$43,INT(balancing!$B$41/balancing!$B$33*R$43),CombatantLevelAttributeMod)</f>
      </c>
      <c r="S49" s="1">
        <f>ATTACKDAMAGE(IF(ISEVEN(COLUMN()),$B49,$C49),S$43,INT(balancing!$B$41/balancing!$B$33*S$43),CombatantLevelAttributeMod)</f>
      </c>
      <c r="T49" s="1">
        <f>ATTACKDAMAGE(IF(ISEVEN(COLUMN()),$B49,$C49),T$43,INT(balancing!$B$41/balancing!$B$33*T$43),CombatantLevelAttributeMod)</f>
      </c>
      <c r="U49" s="1">
        <f>ATTACKDAMAGE(IF(ISEVEN(COLUMN()),$B49,$C49),U$43,INT(balancing!$B$41/balancing!$B$33*U$43),CombatantLevelAttributeMod)</f>
      </c>
      <c r="V49" s="1">
        <f>ATTACKDAMAGE(IF(ISEVEN(COLUMN()),$B49,$C49),V$43,INT(balancing!$B$41/balancing!$B$33*V$43),CombatantLevelAttributeMod)</f>
      </c>
      <c r="W49" s="1">
        <f>ATTACKDAMAGE(IF(ISEVEN(COLUMN()),$B49,$C49),W$43,INT(balancing!$B$41/balancing!$B$33*W$43),CombatantLevelAttributeMod)</f>
      </c>
    </row>
    <row r="50" spans="1:23" x14ac:dyDescent="0.25">
      <c r="A50" s="3">
        <f>'equipment-weapons'!A8</f>
      </c>
      <c r="B50" s="3">
        <f>'equipment-weapons'!F8</f>
      </c>
      <c r="C50" s="3">
        <f>'equipment-weapons'!G8</f>
      </c>
      <c r="D50" s="1">
        <f>ATTACKDAMAGE(IF(ISEVEN(COLUMN()),$B50,$C50),D$43,INT(balancing!$B$41/balancing!$B$33*D$43),CombatantLevelAttributeMod)</f>
      </c>
      <c r="E50" s="1">
        <f>ATTACKDAMAGE(IF(ISEVEN(COLUMN()),$B50,$C50),E$43,INT(balancing!$B$41/balancing!$B$33*E$43),CombatantLevelAttributeMod)</f>
      </c>
      <c r="F50" s="1">
        <f>ATTACKDAMAGE(IF(ISEVEN(COLUMN()),$B50,$C50),F$43,INT(balancing!$B$41/balancing!$B$33*F$43),CombatantLevelAttributeMod)</f>
      </c>
      <c r="G50" s="1">
        <f>ATTACKDAMAGE(IF(ISEVEN(COLUMN()),$B50,$C50),G$43,INT(balancing!$B$41/balancing!$B$33*G$43),CombatantLevelAttributeMod)</f>
      </c>
      <c r="H50" s="1">
        <f>ATTACKDAMAGE(IF(ISEVEN(COLUMN()),$B50,$C50),H$43,INT(balancing!$B$41/balancing!$B$33*H$43),CombatantLevelAttributeMod)</f>
      </c>
      <c r="I50" s="1">
        <f>ATTACKDAMAGE(IF(ISEVEN(COLUMN()),$B50,$C50),I$43,INT(balancing!$B$41/balancing!$B$33*I$43),CombatantLevelAttributeMod)</f>
      </c>
      <c r="J50" s="1">
        <f>ATTACKDAMAGE(IF(ISEVEN(COLUMN()),$B50,$C50),J$43,INT(balancing!$B$41/balancing!$B$33*J$43),CombatantLevelAttributeMod)</f>
      </c>
      <c r="K50" s="1">
        <f>ATTACKDAMAGE(IF(ISEVEN(COLUMN()),$B50,$C50),K$43,INT(balancing!$B$41/balancing!$B$33*K$43),CombatantLevelAttributeMod)</f>
      </c>
      <c r="L50" s="1">
        <f>ATTACKDAMAGE(IF(ISEVEN(COLUMN()),$B50,$C50),L$43,INT(balancing!$B$41/balancing!$B$33*L$43),CombatantLevelAttributeMod)</f>
      </c>
      <c r="M50" s="1">
        <f>ATTACKDAMAGE(IF(ISEVEN(COLUMN()),$B50,$C50),M$43,INT(balancing!$B$41/balancing!$B$33*M$43),CombatantLevelAttributeMod)</f>
      </c>
      <c r="N50" s="1">
        <f>ATTACKDAMAGE(IF(ISEVEN(COLUMN()),$B50,$C50),N$43,INT(balancing!$B$41/balancing!$B$33*N$43),CombatantLevelAttributeMod)</f>
      </c>
      <c r="O50" s="1">
        <f>ATTACKDAMAGE(IF(ISEVEN(COLUMN()),$B50,$C50),O$43,INT(balancing!$B$41/balancing!$B$33*O$43),CombatantLevelAttributeMod)</f>
      </c>
      <c r="P50" s="1">
        <f>ATTACKDAMAGE(IF(ISEVEN(COLUMN()),$B50,$C50),P$43,INT(balancing!$B$41/balancing!$B$33*P$43),CombatantLevelAttributeMod)</f>
      </c>
      <c r="Q50" s="1">
        <f>ATTACKDAMAGE(IF(ISEVEN(COLUMN()),$B50,$C50),Q$43,INT(balancing!$B$41/balancing!$B$33*Q$43),CombatantLevelAttributeMod)</f>
      </c>
      <c r="R50" s="1">
        <f>ATTACKDAMAGE(IF(ISEVEN(COLUMN()),$B50,$C50),R$43,INT(balancing!$B$41/balancing!$B$33*R$43),CombatantLevelAttributeMod)</f>
      </c>
      <c r="S50" s="1">
        <f>ATTACKDAMAGE(IF(ISEVEN(COLUMN()),$B50,$C50),S$43,INT(balancing!$B$41/balancing!$B$33*S$43),CombatantLevelAttributeMod)</f>
      </c>
      <c r="T50" s="1">
        <f>ATTACKDAMAGE(IF(ISEVEN(COLUMN()),$B50,$C50),T$43,INT(balancing!$B$41/balancing!$B$33*T$43),CombatantLevelAttributeMod)</f>
      </c>
      <c r="U50" s="1">
        <f>ATTACKDAMAGE(IF(ISEVEN(COLUMN()),$B50,$C50),U$43,INT(balancing!$B$41/balancing!$B$33*U$43),CombatantLevelAttributeMod)</f>
      </c>
      <c r="V50" s="1">
        <f>ATTACKDAMAGE(IF(ISEVEN(COLUMN()),$B50,$C50),V$43,INT(balancing!$B$41/balancing!$B$33*V$43),CombatantLevelAttributeMod)</f>
      </c>
      <c r="W50" s="1">
        <f>ATTACKDAMAGE(IF(ISEVEN(COLUMN()),$B50,$C50),W$43,INT(balancing!$B$41/balancing!$B$33*W$43),CombatantLevelAttributeMod)</f>
      </c>
    </row>
    <row r="51" spans="1:23" x14ac:dyDescent="0.25">
      <c r="A51" s="3">
        <f>'equipment-weapons'!A9</f>
      </c>
      <c r="B51" s="3">
        <f>'equipment-weapons'!F9</f>
      </c>
      <c r="C51" s="3">
        <f>'equipment-weapons'!G9</f>
      </c>
      <c r="D51" s="1">
        <f>ATTACKDAMAGE(IF(ISEVEN(COLUMN()),$B51,$C51),D$43,INT(balancing!$B$41/balancing!$B$33*D$43),CombatantLevelAttributeMod)</f>
      </c>
      <c r="E51" s="1">
        <f>ATTACKDAMAGE(IF(ISEVEN(COLUMN()),$B51,$C51),E$43,INT(balancing!$B$41/balancing!$B$33*E$43),CombatantLevelAttributeMod)</f>
      </c>
      <c r="F51" s="1">
        <f>ATTACKDAMAGE(IF(ISEVEN(COLUMN()),$B51,$C51),F$43,INT(balancing!$B$41/balancing!$B$33*F$43),CombatantLevelAttributeMod)</f>
      </c>
      <c r="G51" s="1">
        <f>ATTACKDAMAGE(IF(ISEVEN(COLUMN()),$B51,$C51),G$43,INT(balancing!$B$41/balancing!$B$33*G$43),CombatantLevelAttributeMod)</f>
      </c>
      <c r="H51" s="1">
        <f>ATTACKDAMAGE(IF(ISEVEN(COLUMN()),$B51,$C51),H$43,INT(balancing!$B$41/balancing!$B$33*H$43),CombatantLevelAttributeMod)</f>
      </c>
      <c r="I51" s="1">
        <f>ATTACKDAMAGE(IF(ISEVEN(COLUMN()),$B51,$C51),I$43,INT(balancing!$B$41/balancing!$B$33*I$43),CombatantLevelAttributeMod)</f>
      </c>
      <c r="J51" s="1">
        <f>ATTACKDAMAGE(IF(ISEVEN(COLUMN()),$B51,$C51),J$43,INT(balancing!$B$41/balancing!$B$33*J$43),CombatantLevelAttributeMod)</f>
      </c>
      <c r="K51" s="1">
        <f>ATTACKDAMAGE(IF(ISEVEN(COLUMN()),$B51,$C51),K$43,INT(balancing!$B$41/balancing!$B$33*K$43),CombatantLevelAttributeMod)</f>
      </c>
      <c r="L51" s="1">
        <f>ATTACKDAMAGE(IF(ISEVEN(COLUMN()),$B51,$C51),L$43,INT(balancing!$B$41/balancing!$B$33*L$43),CombatantLevelAttributeMod)</f>
      </c>
      <c r="M51" s="1">
        <f>ATTACKDAMAGE(IF(ISEVEN(COLUMN()),$B51,$C51),M$43,INT(balancing!$B$41/balancing!$B$33*M$43),CombatantLevelAttributeMod)</f>
      </c>
      <c r="N51" s="1">
        <f>ATTACKDAMAGE(IF(ISEVEN(COLUMN()),$B51,$C51),N$43,INT(balancing!$B$41/balancing!$B$33*N$43),CombatantLevelAttributeMod)</f>
      </c>
      <c r="O51" s="1">
        <f>ATTACKDAMAGE(IF(ISEVEN(COLUMN()),$B51,$C51),O$43,INT(balancing!$B$41/balancing!$B$33*O$43),CombatantLevelAttributeMod)</f>
      </c>
      <c r="P51" s="1">
        <f>ATTACKDAMAGE(IF(ISEVEN(COLUMN()),$B51,$C51),P$43,INT(balancing!$B$41/balancing!$B$33*P$43),CombatantLevelAttributeMod)</f>
      </c>
      <c r="Q51" s="1">
        <f>ATTACKDAMAGE(IF(ISEVEN(COLUMN()),$B51,$C51),Q$43,INT(balancing!$B$41/balancing!$B$33*Q$43),CombatantLevelAttributeMod)</f>
      </c>
      <c r="R51" s="1">
        <f>ATTACKDAMAGE(IF(ISEVEN(COLUMN()),$B51,$C51),R$43,INT(balancing!$B$41/balancing!$B$33*R$43),CombatantLevelAttributeMod)</f>
      </c>
      <c r="S51" s="1">
        <f>ATTACKDAMAGE(IF(ISEVEN(COLUMN()),$B51,$C51),S$43,INT(balancing!$B$41/balancing!$B$33*S$43),CombatantLevelAttributeMod)</f>
      </c>
      <c r="T51" s="1">
        <f>ATTACKDAMAGE(IF(ISEVEN(COLUMN()),$B51,$C51),T$43,INT(balancing!$B$41/balancing!$B$33*T$43),CombatantLevelAttributeMod)</f>
      </c>
      <c r="U51" s="1">
        <f>ATTACKDAMAGE(IF(ISEVEN(COLUMN()),$B51,$C51),U$43,INT(balancing!$B$41/balancing!$B$33*U$43),CombatantLevelAttributeMod)</f>
      </c>
      <c r="V51" s="1">
        <f>ATTACKDAMAGE(IF(ISEVEN(COLUMN()),$B51,$C51),V$43,INT(balancing!$B$41/balancing!$B$33*V$43),CombatantLevelAttributeMod)</f>
      </c>
      <c r="W51" s="1">
        <f>ATTACKDAMAGE(IF(ISEVEN(COLUMN()),$B51,$C51),W$43,INT(balancing!$B$41/balancing!$B$33*W$43),CombatantLevelAttributeMod)</f>
      </c>
    </row>
    <row r="52" spans="1:23" x14ac:dyDescent="0.25">
      <c r="A52" s="3">
        <f>'equipment-weapons'!A10</f>
      </c>
      <c r="B52" s="3">
        <f>'equipment-weapons'!F10</f>
      </c>
      <c r="C52" s="3">
        <f>'equipment-weapons'!G10</f>
      </c>
      <c r="D52" s="1">
        <f>ATTACKDAMAGE(IF(ISEVEN(COLUMN()),$B52,$C52),D$43,INT(balancing!$B$41/balancing!$B$33*D$43),CombatantLevelAttributeMod)</f>
      </c>
      <c r="E52" s="1">
        <f>ATTACKDAMAGE(IF(ISEVEN(COLUMN()),$B52,$C52),E$43,INT(balancing!$B$41/balancing!$B$33*E$43),CombatantLevelAttributeMod)</f>
      </c>
      <c r="F52" s="1">
        <f>ATTACKDAMAGE(IF(ISEVEN(COLUMN()),$B52,$C52),F$43,INT(balancing!$B$41/balancing!$B$33*F$43),CombatantLevelAttributeMod)</f>
      </c>
      <c r="G52" s="1">
        <f>ATTACKDAMAGE(IF(ISEVEN(COLUMN()),$B52,$C52),G$43,INT(balancing!$B$41/balancing!$B$33*G$43),CombatantLevelAttributeMod)</f>
      </c>
      <c r="H52" s="1">
        <f>ATTACKDAMAGE(IF(ISEVEN(COLUMN()),$B52,$C52),H$43,INT(balancing!$B$41/balancing!$B$33*H$43),CombatantLevelAttributeMod)</f>
      </c>
      <c r="I52" s="1">
        <f>ATTACKDAMAGE(IF(ISEVEN(COLUMN()),$B52,$C52),I$43,INT(balancing!$B$41/balancing!$B$33*I$43),CombatantLevelAttributeMod)</f>
      </c>
      <c r="J52" s="1">
        <f>ATTACKDAMAGE(IF(ISEVEN(COLUMN()),$B52,$C52),J$43,INT(balancing!$B$41/balancing!$B$33*J$43),CombatantLevelAttributeMod)</f>
      </c>
      <c r="K52" s="1">
        <f>ATTACKDAMAGE(IF(ISEVEN(COLUMN()),$B52,$C52),K$43,INT(balancing!$B$41/balancing!$B$33*K$43),CombatantLevelAttributeMod)</f>
      </c>
      <c r="L52" s="1">
        <f>ATTACKDAMAGE(IF(ISEVEN(COLUMN()),$B52,$C52),L$43,INT(balancing!$B$41/balancing!$B$33*L$43),CombatantLevelAttributeMod)</f>
      </c>
      <c r="M52" s="1">
        <f>ATTACKDAMAGE(IF(ISEVEN(COLUMN()),$B52,$C52),M$43,INT(balancing!$B$41/balancing!$B$33*M$43),CombatantLevelAttributeMod)</f>
      </c>
      <c r="N52" s="1">
        <f>ATTACKDAMAGE(IF(ISEVEN(COLUMN()),$B52,$C52),N$43,INT(balancing!$B$41/balancing!$B$33*N$43),CombatantLevelAttributeMod)</f>
      </c>
      <c r="O52" s="1">
        <f>ATTACKDAMAGE(IF(ISEVEN(COLUMN()),$B52,$C52),O$43,INT(balancing!$B$41/balancing!$B$33*O$43),CombatantLevelAttributeMod)</f>
      </c>
      <c r="P52" s="1">
        <f>ATTACKDAMAGE(IF(ISEVEN(COLUMN()),$B52,$C52),P$43,INT(balancing!$B$41/balancing!$B$33*P$43),CombatantLevelAttributeMod)</f>
      </c>
      <c r="Q52" s="1">
        <f>ATTACKDAMAGE(IF(ISEVEN(COLUMN()),$B52,$C52),Q$43,INT(balancing!$B$41/balancing!$B$33*Q$43),CombatantLevelAttributeMod)</f>
      </c>
      <c r="R52" s="1">
        <f>ATTACKDAMAGE(IF(ISEVEN(COLUMN()),$B52,$C52),R$43,INT(balancing!$B$41/balancing!$B$33*R$43),CombatantLevelAttributeMod)</f>
      </c>
      <c r="S52" s="1">
        <f>ATTACKDAMAGE(IF(ISEVEN(COLUMN()),$B52,$C52),S$43,INT(balancing!$B$41/balancing!$B$33*S$43),CombatantLevelAttributeMod)</f>
      </c>
      <c r="T52" s="1">
        <f>ATTACKDAMAGE(IF(ISEVEN(COLUMN()),$B52,$C52),T$43,INT(balancing!$B$41/balancing!$B$33*T$43),CombatantLevelAttributeMod)</f>
      </c>
      <c r="U52" s="1">
        <f>ATTACKDAMAGE(IF(ISEVEN(COLUMN()),$B52,$C52),U$43,INT(balancing!$B$41/balancing!$B$33*U$43),CombatantLevelAttributeMod)</f>
      </c>
      <c r="V52" s="1">
        <f>ATTACKDAMAGE(IF(ISEVEN(COLUMN()),$B52,$C52),V$43,INT(balancing!$B$41/balancing!$B$33*V$43),CombatantLevelAttributeMod)</f>
      </c>
      <c r="W52" s="1">
        <f>ATTACKDAMAGE(IF(ISEVEN(COLUMN()),$B52,$C52),W$43,INT(balancing!$B$41/balancing!$B$33*W$43),CombatantLevelAttributeMod)</f>
      </c>
    </row>
    <row r="53" spans="1:23" x14ac:dyDescent="0.25">
      <c r="A53" s="3">
        <f>'equipment-weapons'!A11</f>
      </c>
      <c r="B53" s="3">
        <f>'equipment-weapons'!F11</f>
      </c>
      <c r="C53" s="3">
        <f>'equipment-weapons'!G11</f>
      </c>
      <c r="D53" s="1">
        <f>ATTACKDAMAGE(IF(ISEVEN(COLUMN()),$B53,$C53),D$43,INT(balancing!$B$41/balancing!$B$33*D$43),CombatantLevelAttributeMod)</f>
      </c>
      <c r="E53" s="1">
        <f>ATTACKDAMAGE(IF(ISEVEN(COLUMN()),$B53,$C53),E$43,INT(balancing!$B$41/balancing!$B$33*E$43),CombatantLevelAttributeMod)</f>
      </c>
      <c r="F53" s="1">
        <f>ATTACKDAMAGE(IF(ISEVEN(COLUMN()),$B53,$C53),F$43,INT(balancing!$B$41/balancing!$B$33*F$43),CombatantLevelAttributeMod)</f>
      </c>
      <c r="G53" s="1">
        <f>ATTACKDAMAGE(IF(ISEVEN(COLUMN()),$B53,$C53),G$43,INT(balancing!$B$41/balancing!$B$33*G$43),CombatantLevelAttributeMod)</f>
      </c>
      <c r="H53" s="1">
        <f>ATTACKDAMAGE(IF(ISEVEN(COLUMN()),$B53,$C53),H$43,INT(balancing!$B$41/balancing!$B$33*H$43),CombatantLevelAttributeMod)</f>
      </c>
      <c r="I53" s="1">
        <f>ATTACKDAMAGE(IF(ISEVEN(COLUMN()),$B53,$C53),I$43,INT(balancing!$B$41/balancing!$B$33*I$43),CombatantLevelAttributeMod)</f>
      </c>
      <c r="J53" s="1">
        <f>ATTACKDAMAGE(IF(ISEVEN(COLUMN()),$B53,$C53),J$43,INT(balancing!$B$41/balancing!$B$33*J$43),CombatantLevelAttributeMod)</f>
      </c>
      <c r="K53" s="1">
        <f>ATTACKDAMAGE(IF(ISEVEN(COLUMN()),$B53,$C53),K$43,INT(balancing!$B$41/balancing!$B$33*K$43),CombatantLevelAttributeMod)</f>
      </c>
      <c r="L53" s="1">
        <f>ATTACKDAMAGE(IF(ISEVEN(COLUMN()),$B53,$C53),L$43,INT(balancing!$B$41/balancing!$B$33*L$43),CombatantLevelAttributeMod)</f>
      </c>
      <c r="M53" s="1">
        <f>ATTACKDAMAGE(IF(ISEVEN(COLUMN()),$B53,$C53),M$43,INT(balancing!$B$41/balancing!$B$33*M$43),CombatantLevelAttributeMod)</f>
      </c>
      <c r="N53" s="1">
        <f>ATTACKDAMAGE(IF(ISEVEN(COLUMN()),$B53,$C53),N$43,INT(balancing!$B$41/balancing!$B$33*N$43),CombatantLevelAttributeMod)</f>
      </c>
      <c r="O53" s="1">
        <f>ATTACKDAMAGE(IF(ISEVEN(COLUMN()),$B53,$C53),O$43,INT(balancing!$B$41/balancing!$B$33*O$43),CombatantLevelAttributeMod)</f>
      </c>
      <c r="P53" s="1">
        <f>ATTACKDAMAGE(IF(ISEVEN(COLUMN()),$B53,$C53),P$43,INT(balancing!$B$41/balancing!$B$33*P$43),CombatantLevelAttributeMod)</f>
      </c>
      <c r="Q53" s="1">
        <f>ATTACKDAMAGE(IF(ISEVEN(COLUMN()),$B53,$C53),Q$43,INT(balancing!$B$41/balancing!$B$33*Q$43),CombatantLevelAttributeMod)</f>
      </c>
      <c r="R53" s="1">
        <f>ATTACKDAMAGE(IF(ISEVEN(COLUMN()),$B53,$C53),R$43,INT(balancing!$B$41/balancing!$B$33*R$43),CombatantLevelAttributeMod)</f>
      </c>
      <c r="S53" s="1">
        <f>ATTACKDAMAGE(IF(ISEVEN(COLUMN()),$B53,$C53),S$43,INT(balancing!$B$41/balancing!$B$33*S$43),CombatantLevelAttributeMod)</f>
      </c>
      <c r="T53" s="1">
        <f>ATTACKDAMAGE(IF(ISEVEN(COLUMN()),$B53,$C53),T$43,INT(balancing!$B$41/balancing!$B$33*T$43),CombatantLevelAttributeMod)</f>
      </c>
      <c r="U53" s="1">
        <f>ATTACKDAMAGE(IF(ISEVEN(COLUMN()),$B53,$C53),U$43,INT(balancing!$B$41/balancing!$B$33*U$43),CombatantLevelAttributeMod)</f>
      </c>
      <c r="V53" s="1">
        <f>ATTACKDAMAGE(IF(ISEVEN(COLUMN()),$B53,$C53),V$43,INT(balancing!$B$41/balancing!$B$33*V$43),CombatantLevelAttributeMod)</f>
      </c>
      <c r="W53" s="1">
        <f>ATTACKDAMAGE(IF(ISEVEN(COLUMN()),$B53,$C53),W$43,INT(balancing!$B$41/balancing!$B$33*W$43),CombatantLevelAttributeMod)</f>
      </c>
    </row>
    <row r="54" spans="1:23" x14ac:dyDescent="0.25">
      <c r="A54" s="3">
        <f>'equipment-weapons'!A12</f>
      </c>
      <c r="B54" s="3">
        <f>'equipment-weapons'!F12</f>
      </c>
      <c r="C54" s="3">
        <f>'equipment-weapons'!G12</f>
      </c>
      <c r="D54" s="1">
        <f>ATTACKDAMAGE(IF(ISEVEN(COLUMN()),$B54,$C54),D$43,INT(balancing!$B$41/balancing!$B$33*D$43),CombatantLevelAttributeMod)</f>
      </c>
      <c r="E54" s="1">
        <f>ATTACKDAMAGE(IF(ISEVEN(COLUMN()),$B54,$C54),E$43,INT(balancing!$B$41/balancing!$B$33*E$43),CombatantLevelAttributeMod)</f>
      </c>
      <c r="F54" s="1">
        <f>ATTACKDAMAGE(IF(ISEVEN(COLUMN()),$B54,$C54),F$43,INT(balancing!$B$41/balancing!$B$33*F$43),CombatantLevelAttributeMod)</f>
      </c>
      <c r="G54" s="1">
        <f>ATTACKDAMAGE(IF(ISEVEN(COLUMN()),$B54,$C54),G$43,INT(balancing!$B$41/balancing!$B$33*G$43),CombatantLevelAttributeMod)</f>
      </c>
      <c r="H54" s="1">
        <f>ATTACKDAMAGE(IF(ISEVEN(COLUMN()),$B54,$C54),H$43,INT(balancing!$B$41/balancing!$B$33*H$43),CombatantLevelAttributeMod)</f>
      </c>
      <c r="I54" s="1">
        <f>ATTACKDAMAGE(IF(ISEVEN(COLUMN()),$B54,$C54),I$43,INT(balancing!$B$41/balancing!$B$33*I$43),CombatantLevelAttributeMod)</f>
      </c>
      <c r="J54" s="1">
        <f>ATTACKDAMAGE(IF(ISEVEN(COLUMN()),$B54,$C54),J$43,INT(balancing!$B$41/balancing!$B$33*J$43),CombatantLevelAttributeMod)</f>
      </c>
      <c r="K54" s="1">
        <f>ATTACKDAMAGE(IF(ISEVEN(COLUMN()),$B54,$C54),K$43,INT(balancing!$B$41/balancing!$B$33*K$43),CombatantLevelAttributeMod)</f>
      </c>
      <c r="L54" s="1">
        <f>ATTACKDAMAGE(IF(ISEVEN(COLUMN()),$B54,$C54),L$43,INT(balancing!$B$41/balancing!$B$33*L$43),CombatantLevelAttributeMod)</f>
      </c>
      <c r="M54" s="1">
        <f>ATTACKDAMAGE(IF(ISEVEN(COLUMN()),$B54,$C54),M$43,INT(balancing!$B$41/balancing!$B$33*M$43),CombatantLevelAttributeMod)</f>
      </c>
      <c r="N54" s="1">
        <f>ATTACKDAMAGE(IF(ISEVEN(COLUMN()),$B54,$C54),N$43,INT(balancing!$B$41/balancing!$B$33*N$43),CombatantLevelAttributeMod)</f>
      </c>
      <c r="O54" s="1">
        <f>ATTACKDAMAGE(IF(ISEVEN(COLUMN()),$B54,$C54),O$43,INT(balancing!$B$41/balancing!$B$33*O$43),CombatantLevelAttributeMod)</f>
      </c>
      <c r="P54" s="1">
        <f>ATTACKDAMAGE(IF(ISEVEN(COLUMN()),$B54,$C54),P$43,INT(balancing!$B$41/balancing!$B$33*P$43),CombatantLevelAttributeMod)</f>
      </c>
      <c r="Q54" s="1">
        <f>ATTACKDAMAGE(IF(ISEVEN(COLUMN()),$B54,$C54),Q$43,INT(balancing!$B$41/balancing!$B$33*Q$43),CombatantLevelAttributeMod)</f>
      </c>
      <c r="R54" s="1">
        <f>ATTACKDAMAGE(IF(ISEVEN(COLUMN()),$B54,$C54),R$43,INT(balancing!$B$41/balancing!$B$33*R$43),CombatantLevelAttributeMod)</f>
      </c>
      <c r="S54" s="1">
        <f>ATTACKDAMAGE(IF(ISEVEN(COLUMN()),$B54,$C54),S$43,INT(balancing!$B$41/balancing!$B$33*S$43),CombatantLevelAttributeMod)</f>
      </c>
      <c r="T54" s="1">
        <f>ATTACKDAMAGE(IF(ISEVEN(COLUMN()),$B54,$C54),T$43,INT(balancing!$B$41/balancing!$B$33*T$43),CombatantLevelAttributeMod)</f>
      </c>
      <c r="U54" s="1">
        <f>ATTACKDAMAGE(IF(ISEVEN(COLUMN()),$B54,$C54),U$43,INT(balancing!$B$41/balancing!$B$33*U$43),CombatantLevelAttributeMod)</f>
      </c>
      <c r="V54" s="1">
        <f>ATTACKDAMAGE(IF(ISEVEN(COLUMN()),$B54,$C54),V$43,INT(balancing!$B$41/balancing!$B$33*V$43),CombatantLevelAttributeMod)</f>
      </c>
      <c r="W54" s="1">
        <f>ATTACKDAMAGE(IF(ISEVEN(COLUMN()),$B54,$C54),W$43,INT(balancing!$B$41/balancing!$B$33*W$43),CombatantLevelAttributeMod)</f>
      </c>
    </row>
    <row r="55" spans="1:23" x14ac:dyDescent="0.25">
      <c r="A55" s="3">
        <f>'equipment-weapons'!A13</f>
      </c>
      <c r="B55" s="3">
        <f>'equipment-weapons'!F13</f>
      </c>
      <c r="C55" s="3">
        <f>'equipment-weapons'!G13</f>
      </c>
      <c r="D55" s="1">
        <f>ATTACKDAMAGE(IF(ISEVEN(COLUMN()),$B55,$C55),D$43,INT(balancing!$B$41/balancing!$B$33*D$43),CombatantLevelAttributeMod)</f>
      </c>
      <c r="E55" s="1">
        <f>ATTACKDAMAGE(IF(ISEVEN(COLUMN()),$B55,$C55),E$43,INT(balancing!$B$41/balancing!$B$33*E$43),CombatantLevelAttributeMod)</f>
      </c>
      <c r="F55" s="1">
        <f>ATTACKDAMAGE(IF(ISEVEN(COLUMN()),$B55,$C55),F$43,INT(balancing!$B$41/balancing!$B$33*F$43),CombatantLevelAttributeMod)</f>
      </c>
      <c r="G55" s="1">
        <f>ATTACKDAMAGE(IF(ISEVEN(COLUMN()),$B55,$C55),G$43,INT(balancing!$B$41/balancing!$B$33*G$43),CombatantLevelAttributeMod)</f>
      </c>
      <c r="H55" s="1">
        <f>ATTACKDAMAGE(IF(ISEVEN(COLUMN()),$B55,$C55),H$43,INT(balancing!$B$41/balancing!$B$33*H$43),CombatantLevelAttributeMod)</f>
      </c>
      <c r="I55" s="1">
        <f>ATTACKDAMAGE(IF(ISEVEN(COLUMN()),$B55,$C55),I$43,INT(balancing!$B$41/balancing!$B$33*I$43),CombatantLevelAttributeMod)</f>
      </c>
      <c r="J55" s="1">
        <f>ATTACKDAMAGE(IF(ISEVEN(COLUMN()),$B55,$C55),J$43,INT(balancing!$B$41/balancing!$B$33*J$43),CombatantLevelAttributeMod)</f>
      </c>
      <c r="K55" s="1">
        <f>ATTACKDAMAGE(IF(ISEVEN(COLUMN()),$B55,$C55),K$43,INT(balancing!$B$41/balancing!$B$33*K$43),CombatantLevelAttributeMod)</f>
      </c>
      <c r="L55" s="1">
        <f>ATTACKDAMAGE(IF(ISEVEN(COLUMN()),$B55,$C55),L$43,INT(balancing!$B$41/balancing!$B$33*L$43),CombatantLevelAttributeMod)</f>
      </c>
      <c r="M55" s="1">
        <f>ATTACKDAMAGE(IF(ISEVEN(COLUMN()),$B55,$C55),M$43,INT(balancing!$B$41/balancing!$B$33*M$43),CombatantLevelAttributeMod)</f>
      </c>
      <c r="N55" s="1">
        <f>ATTACKDAMAGE(IF(ISEVEN(COLUMN()),$B55,$C55),N$43,INT(balancing!$B$41/balancing!$B$33*N$43),CombatantLevelAttributeMod)</f>
      </c>
      <c r="O55" s="1">
        <f>ATTACKDAMAGE(IF(ISEVEN(COLUMN()),$B55,$C55),O$43,INT(balancing!$B$41/balancing!$B$33*O$43),CombatantLevelAttributeMod)</f>
      </c>
      <c r="P55" s="1">
        <f>ATTACKDAMAGE(IF(ISEVEN(COLUMN()),$B55,$C55),P$43,INT(balancing!$B$41/balancing!$B$33*P$43),CombatantLevelAttributeMod)</f>
      </c>
      <c r="Q55" s="1">
        <f>ATTACKDAMAGE(IF(ISEVEN(COLUMN()),$B55,$C55),Q$43,INT(balancing!$B$41/balancing!$B$33*Q$43),CombatantLevelAttributeMod)</f>
      </c>
      <c r="R55" s="1">
        <f>ATTACKDAMAGE(IF(ISEVEN(COLUMN()),$B55,$C55),R$43,INT(balancing!$B$41/balancing!$B$33*R$43),CombatantLevelAttributeMod)</f>
      </c>
      <c r="S55" s="1">
        <f>ATTACKDAMAGE(IF(ISEVEN(COLUMN()),$B55,$C55),S$43,INT(balancing!$B$41/balancing!$B$33*S$43),CombatantLevelAttributeMod)</f>
      </c>
      <c r="T55" s="1">
        <f>ATTACKDAMAGE(IF(ISEVEN(COLUMN()),$B55,$C55),T$43,INT(balancing!$B$41/balancing!$B$33*T$43),CombatantLevelAttributeMod)</f>
      </c>
      <c r="U55" s="1">
        <f>ATTACKDAMAGE(IF(ISEVEN(COLUMN()),$B55,$C55),U$43,INT(balancing!$B$41/balancing!$B$33*U$43),CombatantLevelAttributeMod)</f>
      </c>
      <c r="V55" s="1">
        <f>ATTACKDAMAGE(IF(ISEVEN(COLUMN()),$B55,$C55),V$43,INT(balancing!$B$41/balancing!$B$33*V$43),CombatantLevelAttributeMod)</f>
      </c>
      <c r="W55" s="1">
        <f>ATTACKDAMAGE(IF(ISEVEN(COLUMN()),$B55,$C55),W$43,INT(balancing!$B$41/balancing!$B$33*W$43),CombatantLevelAttributeMod)</f>
      </c>
    </row>
    <row r="56" spans="1:23" x14ac:dyDescent="0.25">
      <c r="A56" s="3">
        <f>'equipment-weapons'!A14</f>
      </c>
      <c r="B56" s="3">
        <f>'equipment-weapons'!F14</f>
      </c>
      <c r="C56" s="3">
        <f>'equipment-weapons'!G14</f>
      </c>
      <c r="D56" s="1">
        <f>ATTACKDAMAGE(IF(ISEVEN(COLUMN()),$B56,$C56),D$43,INT(balancing!$B$41/balancing!$B$33*D$43),CombatantLevelAttributeMod)</f>
      </c>
      <c r="E56" s="1">
        <f>ATTACKDAMAGE(IF(ISEVEN(COLUMN()),$B56,$C56),E$43,INT(balancing!$B$41/balancing!$B$33*E$43),CombatantLevelAttributeMod)</f>
      </c>
      <c r="F56" s="1">
        <f>ATTACKDAMAGE(IF(ISEVEN(COLUMN()),$B56,$C56),F$43,INT(balancing!$B$41/balancing!$B$33*F$43),CombatantLevelAttributeMod)</f>
      </c>
      <c r="G56" s="1">
        <f>ATTACKDAMAGE(IF(ISEVEN(COLUMN()),$B56,$C56),G$43,INT(balancing!$B$41/balancing!$B$33*G$43),CombatantLevelAttributeMod)</f>
      </c>
      <c r="H56" s="1">
        <f>ATTACKDAMAGE(IF(ISEVEN(COLUMN()),$B56,$C56),H$43,INT(balancing!$B$41/balancing!$B$33*H$43),CombatantLevelAttributeMod)</f>
      </c>
      <c r="I56" s="1">
        <f>ATTACKDAMAGE(IF(ISEVEN(COLUMN()),$B56,$C56),I$43,INT(balancing!$B$41/balancing!$B$33*I$43),CombatantLevelAttributeMod)</f>
      </c>
      <c r="J56" s="1">
        <f>ATTACKDAMAGE(IF(ISEVEN(COLUMN()),$B56,$C56),J$43,INT(balancing!$B$41/balancing!$B$33*J$43),CombatantLevelAttributeMod)</f>
      </c>
      <c r="K56" s="1">
        <f>ATTACKDAMAGE(IF(ISEVEN(COLUMN()),$B56,$C56),K$43,INT(balancing!$B$41/balancing!$B$33*K$43),CombatantLevelAttributeMod)</f>
      </c>
      <c r="L56" s="1">
        <f>ATTACKDAMAGE(IF(ISEVEN(COLUMN()),$B56,$C56),L$43,INT(balancing!$B$41/balancing!$B$33*L$43),CombatantLevelAttributeMod)</f>
      </c>
      <c r="M56" s="1">
        <f>ATTACKDAMAGE(IF(ISEVEN(COLUMN()),$B56,$C56),M$43,INT(balancing!$B$41/balancing!$B$33*M$43),CombatantLevelAttributeMod)</f>
      </c>
      <c r="N56" s="1">
        <f>ATTACKDAMAGE(IF(ISEVEN(COLUMN()),$B56,$C56),N$43,INT(balancing!$B$41/balancing!$B$33*N$43),CombatantLevelAttributeMod)</f>
      </c>
      <c r="O56" s="1">
        <f>ATTACKDAMAGE(IF(ISEVEN(COLUMN()),$B56,$C56),O$43,INT(balancing!$B$41/balancing!$B$33*O$43),CombatantLevelAttributeMod)</f>
      </c>
      <c r="P56" s="1">
        <f>ATTACKDAMAGE(IF(ISEVEN(COLUMN()),$B56,$C56),P$43,INT(balancing!$B$41/balancing!$B$33*P$43),CombatantLevelAttributeMod)</f>
      </c>
      <c r="Q56" s="1">
        <f>ATTACKDAMAGE(IF(ISEVEN(COLUMN()),$B56,$C56),Q$43,INT(balancing!$B$41/balancing!$B$33*Q$43),CombatantLevelAttributeMod)</f>
      </c>
      <c r="R56" s="1">
        <f>ATTACKDAMAGE(IF(ISEVEN(COLUMN()),$B56,$C56),R$43,INT(balancing!$B$41/balancing!$B$33*R$43),CombatantLevelAttributeMod)</f>
      </c>
      <c r="S56" s="1">
        <f>ATTACKDAMAGE(IF(ISEVEN(COLUMN()),$B56,$C56),S$43,INT(balancing!$B$41/balancing!$B$33*S$43),CombatantLevelAttributeMod)</f>
      </c>
      <c r="T56" s="1">
        <f>ATTACKDAMAGE(IF(ISEVEN(COLUMN()),$B56,$C56),T$43,INT(balancing!$B$41/balancing!$B$33*T$43),CombatantLevelAttributeMod)</f>
      </c>
      <c r="U56" s="1">
        <f>ATTACKDAMAGE(IF(ISEVEN(COLUMN()),$B56,$C56),U$43,INT(balancing!$B$41/balancing!$B$33*U$43),CombatantLevelAttributeMod)</f>
      </c>
      <c r="V56" s="1">
        <f>ATTACKDAMAGE(IF(ISEVEN(COLUMN()),$B56,$C56),V$43,INT(balancing!$B$41/balancing!$B$33*V$43),CombatantLevelAttributeMod)</f>
      </c>
      <c r="W56" s="1">
        <f>ATTACKDAMAGE(IF(ISEVEN(COLUMN()),$B56,$C56),W$43,INT(balancing!$B$41/balancing!$B$33*W$43),CombatantLevelAttributeMod)</f>
      </c>
    </row>
    <row r="57" spans="1:23" x14ac:dyDescent="0.25">
      <c r="A57" s="3">
        <f>'equipment-weapons'!A15</f>
      </c>
      <c r="B57" s="3">
        <f>'equipment-weapons'!F15</f>
      </c>
      <c r="C57" s="3">
        <f>'equipment-weapons'!G15</f>
      </c>
      <c r="D57" s="1">
        <f>ATTACKDAMAGE(IF(ISEVEN(COLUMN()),$B57,$C57),D$43,INT(balancing!$B$41/balancing!$B$33*D$43),CombatantLevelAttributeMod)</f>
      </c>
      <c r="E57" s="1">
        <f>ATTACKDAMAGE(IF(ISEVEN(COLUMN()),$B57,$C57),E$43,INT(balancing!$B$41/balancing!$B$33*E$43),CombatantLevelAttributeMod)</f>
      </c>
      <c r="F57" s="1">
        <f>ATTACKDAMAGE(IF(ISEVEN(COLUMN()),$B57,$C57),F$43,INT(balancing!$B$41/balancing!$B$33*F$43),CombatantLevelAttributeMod)</f>
      </c>
      <c r="G57" s="1">
        <f>ATTACKDAMAGE(IF(ISEVEN(COLUMN()),$B57,$C57),G$43,INT(balancing!$B$41/balancing!$B$33*G$43),CombatantLevelAttributeMod)</f>
      </c>
      <c r="H57" s="1">
        <f>ATTACKDAMAGE(IF(ISEVEN(COLUMN()),$B57,$C57),H$43,INT(balancing!$B$41/balancing!$B$33*H$43),CombatantLevelAttributeMod)</f>
      </c>
      <c r="I57" s="1">
        <f>ATTACKDAMAGE(IF(ISEVEN(COLUMN()),$B57,$C57),I$43,INT(balancing!$B$41/balancing!$B$33*I$43),CombatantLevelAttributeMod)</f>
      </c>
      <c r="J57" s="1">
        <f>ATTACKDAMAGE(IF(ISEVEN(COLUMN()),$B57,$C57),J$43,INT(balancing!$B$41/balancing!$B$33*J$43),CombatantLevelAttributeMod)</f>
      </c>
      <c r="K57" s="1">
        <f>ATTACKDAMAGE(IF(ISEVEN(COLUMN()),$B57,$C57),K$43,INT(balancing!$B$41/balancing!$B$33*K$43),CombatantLevelAttributeMod)</f>
      </c>
      <c r="L57" s="1">
        <f>ATTACKDAMAGE(IF(ISEVEN(COLUMN()),$B57,$C57),L$43,INT(balancing!$B$41/balancing!$B$33*L$43),CombatantLevelAttributeMod)</f>
      </c>
      <c r="M57" s="1">
        <f>ATTACKDAMAGE(IF(ISEVEN(COLUMN()),$B57,$C57),M$43,INT(balancing!$B$41/balancing!$B$33*M$43),CombatantLevelAttributeMod)</f>
      </c>
      <c r="N57" s="1">
        <f>ATTACKDAMAGE(IF(ISEVEN(COLUMN()),$B57,$C57),N$43,INT(balancing!$B$41/balancing!$B$33*N$43),CombatantLevelAttributeMod)</f>
      </c>
      <c r="O57" s="1">
        <f>ATTACKDAMAGE(IF(ISEVEN(COLUMN()),$B57,$C57),O$43,INT(balancing!$B$41/balancing!$B$33*O$43),CombatantLevelAttributeMod)</f>
      </c>
      <c r="P57" s="1">
        <f>ATTACKDAMAGE(IF(ISEVEN(COLUMN()),$B57,$C57),P$43,INT(balancing!$B$41/balancing!$B$33*P$43),CombatantLevelAttributeMod)</f>
      </c>
      <c r="Q57" s="1">
        <f>ATTACKDAMAGE(IF(ISEVEN(COLUMN()),$B57,$C57),Q$43,INT(balancing!$B$41/balancing!$B$33*Q$43),CombatantLevelAttributeMod)</f>
      </c>
      <c r="R57" s="1">
        <f>ATTACKDAMAGE(IF(ISEVEN(COLUMN()),$B57,$C57),R$43,INT(balancing!$B$41/balancing!$B$33*R$43),CombatantLevelAttributeMod)</f>
      </c>
      <c r="S57" s="1">
        <f>ATTACKDAMAGE(IF(ISEVEN(COLUMN()),$B57,$C57),S$43,INT(balancing!$B$41/balancing!$B$33*S$43),CombatantLevelAttributeMod)</f>
      </c>
      <c r="T57" s="1">
        <f>ATTACKDAMAGE(IF(ISEVEN(COLUMN()),$B57,$C57),T$43,INT(balancing!$B$41/balancing!$B$33*T$43),CombatantLevelAttributeMod)</f>
      </c>
      <c r="U57" s="1">
        <f>ATTACKDAMAGE(IF(ISEVEN(COLUMN()),$B57,$C57),U$43,INT(balancing!$B$41/balancing!$B$33*U$43),CombatantLevelAttributeMod)</f>
      </c>
      <c r="V57" s="1">
        <f>ATTACKDAMAGE(IF(ISEVEN(COLUMN()),$B57,$C57),V$43,INT(balancing!$B$41/balancing!$B$33*V$43),CombatantLevelAttributeMod)</f>
      </c>
      <c r="W57" s="1">
        <f>ATTACKDAMAGE(IF(ISEVEN(COLUMN()),$B57,$C57),W$43,INT(balancing!$B$41/balancing!$B$33*W$43),CombatantLevelAttributeMod)</f>
      </c>
    </row>
    <row r="58" spans="1:23" x14ac:dyDescent="0.25">
      <c r="A58" s="3">
        <f>'equipment-weapons'!A16</f>
      </c>
      <c r="B58" s="3">
        <f>'equipment-weapons'!F16</f>
      </c>
      <c r="C58" s="3">
        <f>'equipment-weapons'!G16</f>
      </c>
      <c r="D58" s="1">
        <f>ATTACKDAMAGE(IF(ISEVEN(COLUMN()),$B58,$C58),D$43,INT(balancing!$B$41/balancing!$B$33*D$43),CombatantLevelAttributeMod)</f>
      </c>
      <c r="E58" s="1">
        <f>ATTACKDAMAGE(IF(ISEVEN(COLUMN()),$B58,$C58),E$43,INT(balancing!$B$41/balancing!$B$33*E$43),CombatantLevelAttributeMod)</f>
      </c>
      <c r="F58" s="1">
        <f>ATTACKDAMAGE(IF(ISEVEN(COLUMN()),$B58,$C58),F$43,INT(balancing!$B$41/balancing!$B$33*F$43),CombatantLevelAttributeMod)</f>
      </c>
      <c r="G58" s="1">
        <f>ATTACKDAMAGE(IF(ISEVEN(COLUMN()),$B58,$C58),G$43,INT(balancing!$B$41/balancing!$B$33*G$43),CombatantLevelAttributeMod)</f>
      </c>
      <c r="H58" s="1">
        <f>ATTACKDAMAGE(IF(ISEVEN(COLUMN()),$B58,$C58),H$43,INT(balancing!$B$41/balancing!$B$33*H$43),CombatantLevelAttributeMod)</f>
      </c>
      <c r="I58" s="1">
        <f>ATTACKDAMAGE(IF(ISEVEN(COLUMN()),$B58,$C58),I$43,INT(balancing!$B$41/balancing!$B$33*I$43),CombatantLevelAttributeMod)</f>
      </c>
      <c r="J58" s="1">
        <f>ATTACKDAMAGE(IF(ISEVEN(COLUMN()),$B58,$C58),J$43,INT(balancing!$B$41/balancing!$B$33*J$43),CombatantLevelAttributeMod)</f>
      </c>
      <c r="K58" s="1">
        <f>ATTACKDAMAGE(IF(ISEVEN(COLUMN()),$B58,$C58),K$43,INT(balancing!$B$41/balancing!$B$33*K$43),CombatantLevelAttributeMod)</f>
      </c>
      <c r="L58" s="1">
        <f>ATTACKDAMAGE(IF(ISEVEN(COLUMN()),$B58,$C58),L$43,INT(balancing!$B$41/balancing!$B$33*L$43),CombatantLevelAttributeMod)</f>
      </c>
      <c r="M58" s="1">
        <f>ATTACKDAMAGE(IF(ISEVEN(COLUMN()),$B58,$C58),M$43,INT(balancing!$B$41/balancing!$B$33*M$43),CombatantLevelAttributeMod)</f>
      </c>
      <c r="N58" s="1">
        <f>ATTACKDAMAGE(IF(ISEVEN(COLUMN()),$B58,$C58),N$43,INT(balancing!$B$41/balancing!$B$33*N$43),CombatantLevelAttributeMod)</f>
      </c>
      <c r="O58" s="1">
        <f>ATTACKDAMAGE(IF(ISEVEN(COLUMN()),$B58,$C58),O$43,INT(balancing!$B$41/balancing!$B$33*O$43),CombatantLevelAttributeMod)</f>
      </c>
      <c r="P58" s="1">
        <f>ATTACKDAMAGE(IF(ISEVEN(COLUMN()),$B58,$C58),P$43,INT(balancing!$B$41/balancing!$B$33*P$43),CombatantLevelAttributeMod)</f>
      </c>
      <c r="Q58" s="1">
        <f>ATTACKDAMAGE(IF(ISEVEN(COLUMN()),$B58,$C58),Q$43,INT(balancing!$B$41/balancing!$B$33*Q$43),CombatantLevelAttributeMod)</f>
      </c>
      <c r="R58" s="1">
        <f>ATTACKDAMAGE(IF(ISEVEN(COLUMN()),$B58,$C58),R$43,INT(balancing!$B$41/balancing!$B$33*R$43),CombatantLevelAttributeMod)</f>
      </c>
      <c r="S58" s="1">
        <f>ATTACKDAMAGE(IF(ISEVEN(COLUMN()),$B58,$C58),S$43,INT(balancing!$B$41/balancing!$B$33*S$43),CombatantLevelAttributeMod)</f>
      </c>
      <c r="T58" s="1">
        <f>ATTACKDAMAGE(IF(ISEVEN(COLUMN()),$B58,$C58),T$43,INT(balancing!$B$41/balancing!$B$33*T$43),CombatantLevelAttributeMod)</f>
      </c>
      <c r="U58" s="1">
        <f>ATTACKDAMAGE(IF(ISEVEN(COLUMN()),$B58,$C58),U$43,INT(balancing!$B$41/balancing!$B$33*U$43),CombatantLevelAttributeMod)</f>
      </c>
      <c r="V58" s="1">
        <f>ATTACKDAMAGE(IF(ISEVEN(COLUMN()),$B58,$C58),V$43,INT(balancing!$B$41/balancing!$B$33*V$43),CombatantLevelAttributeMod)</f>
      </c>
      <c r="W58" s="1">
        <f>ATTACKDAMAGE(IF(ISEVEN(COLUMN()),$B58,$C58),W$43,INT(balancing!$B$41/balancing!$B$33*W$43),CombatantLevelAttributeMod)</f>
      </c>
    </row>
    <row r="59" spans="1:23" x14ac:dyDescent="0.25">
      <c r="A59" s="3">
        <f>'equipment-weapons'!A17</f>
      </c>
      <c r="B59" s="3">
        <f>'equipment-weapons'!F17</f>
      </c>
      <c r="C59" s="3">
        <f>'equipment-weapons'!G17</f>
      </c>
      <c r="D59" s="1">
        <f>ATTACKDAMAGE(IF(ISEVEN(COLUMN()),$B59,$C59),D$43,INT(balancing!$B$41/balancing!$B$33*D$43),CombatantLevelAttributeMod)</f>
      </c>
      <c r="E59" s="1">
        <f>ATTACKDAMAGE(IF(ISEVEN(COLUMN()),$B59,$C59),E$43,INT(balancing!$B$41/balancing!$B$33*E$43),CombatantLevelAttributeMod)</f>
      </c>
      <c r="F59" s="1">
        <f>ATTACKDAMAGE(IF(ISEVEN(COLUMN()),$B59,$C59),F$43,INT(balancing!$B$41/balancing!$B$33*F$43),CombatantLevelAttributeMod)</f>
      </c>
      <c r="G59" s="1">
        <f>ATTACKDAMAGE(IF(ISEVEN(COLUMN()),$B59,$C59),G$43,INT(balancing!$B$41/balancing!$B$33*G$43),CombatantLevelAttributeMod)</f>
      </c>
      <c r="H59" s="1">
        <f>ATTACKDAMAGE(IF(ISEVEN(COLUMN()),$B59,$C59),H$43,INT(balancing!$B$41/balancing!$B$33*H$43),CombatantLevelAttributeMod)</f>
      </c>
      <c r="I59" s="1">
        <f>ATTACKDAMAGE(IF(ISEVEN(COLUMN()),$B59,$C59),I$43,INT(balancing!$B$41/balancing!$B$33*I$43),CombatantLevelAttributeMod)</f>
      </c>
      <c r="J59" s="1">
        <f>ATTACKDAMAGE(IF(ISEVEN(COLUMN()),$B59,$C59),J$43,INT(balancing!$B$41/balancing!$B$33*J$43),CombatantLevelAttributeMod)</f>
      </c>
      <c r="K59" s="1">
        <f>ATTACKDAMAGE(IF(ISEVEN(COLUMN()),$B59,$C59),K$43,INT(balancing!$B$41/balancing!$B$33*K$43),CombatantLevelAttributeMod)</f>
      </c>
      <c r="L59" s="1">
        <f>ATTACKDAMAGE(IF(ISEVEN(COLUMN()),$B59,$C59),L$43,INT(balancing!$B$41/balancing!$B$33*L$43),CombatantLevelAttributeMod)</f>
      </c>
      <c r="M59" s="1">
        <f>ATTACKDAMAGE(IF(ISEVEN(COLUMN()),$B59,$C59),M$43,INT(balancing!$B$41/balancing!$B$33*M$43),CombatantLevelAttributeMod)</f>
      </c>
      <c r="N59" s="1">
        <f>ATTACKDAMAGE(IF(ISEVEN(COLUMN()),$B59,$C59),N$43,INT(balancing!$B$41/balancing!$B$33*N$43),CombatantLevelAttributeMod)</f>
      </c>
      <c r="O59" s="1">
        <f>ATTACKDAMAGE(IF(ISEVEN(COLUMN()),$B59,$C59),O$43,INT(balancing!$B$41/balancing!$B$33*O$43),CombatantLevelAttributeMod)</f>
      </c>
      <c r="P59" s="1">
        <f>ATTACKDAMAGE(IF(ISEVEN(COLUMN()),$B59,$C59),P$43,INT(balancing!$B$41/balancing!$B$33*P$43),CombatantLevelAttributeMod)</f>
      </c>
      <c r="Q59" s="1">
        <f>ATTACKDAMAGE(IF(ISEVEN(COLUMN()),$B59,$C59),Q$43,INT(balancing!$B$41/balancing!$B$33*Q$43),CombatantLevelAttributeMod)</f>
      </c>
      <c r="R59" s="1">
        <f>ATTACKDAMAGE(IF(ISEVEN(COLUMN()),$B59,$C59),R$43,INT(balancing!$B$41/balancing!$B$33*R$43),CombatantLevelAttributeMod)</f>
      </c>
      <c r="S59" s="1">
        <f>ATTACKDAMAGE(IF(ISEVEN(COLUMN()),$B59,$C59),S$43,INT(balancing!$B$41/balancing!$B$33*S$43),CombatantLevelAttributeMod)</f>
      </c>
      <c r="T59" s="1">
        <f>ATTACKDAMAGE(IF(ISEVEN(COLUMN()),$B59,$C59),T$43,INT(balancing!$B$41/balancing!$B$33*T$43),CombatantLevelAttributeMod)</f>
      </c>
      <c r="U59" s="1">
        <f>ATTACKDAMAGE(IF(ISEVEN(COLUMN()),$B59,$C59),U$43,INT(balancing!$B$41/balancing!$B$33*U$43),CombatantLevelAttributeMod)</f>
      </c>
      <c r="V59" s="1">
        <f>ATTACKDAMAGE(IF(ISEVEN(COLUMN()),$B59,$C59),V$43,INT(balancing!$B$41/balancing!$B$33*V$43),CombatantLevelAttributeMod)</f>
      </c>
      <c r="W59" s="1">
        <f>ATTACKDAMAGE(IF(ISEVEN(COLUMN()),$B59,$C59),W$43,INT(balancing!$B$41/balancing!$B$33*W$43),CombatantLevelAttributeMod)</f>
      </c>
    </row>
    <row r="60" spans="1:23" x14ac:dyDescent="0.25">
      <c r="A60" s="3">
        <f>'equipment-weapons'!A18</f>
      </c>
      <c r="B60" s="3">
        <f>'equipment-weapons'!F18</f>
      </c>
      <c r="C60" s="3">
        <f>'equipment-weapons'!G18</f>
      </c>
      <c r="D60" s="1">
        <f>ATTACKDAMAGE(IF(ISEVEN(COLUMN()),$B60,$C60),D$43,INT(balancing!$B$41/balancing!$B$33*D$43),CombatantLevelAttributeMod)</f>
      </c>
      <c r="E60" s="1">
        <f>ATTACKDAMAGE(IF(ISEVEN(COLUMN()),$B60,$C60),E$43,INT(balancing!$B$41/balancing!$B$33*E$43),CombatantLevelAttributeMod)</f>
      </c>
      <c r="F60" s="1">
        <f>ATTACKDAMAGE(IF(ISEVEN(COLUMN()),$B60,$C60),F$43,INT(balancing!$B$41/balancing!$B$33*F$43),CombatantLevelAttributeMod)</f>
      </c>
      <c r="G60" s="1">
        <f>ATTACKDAMAGE(IF(ISEVEN(COLUMN()),$B60,$C60),G$43,INT(balancing!$B$41/balancing!$B$33*G$43),CombatantLevelAttributeMod)</f>
      </c>
      <c r="H60" s="1">
        <f>ATTACKDAMAGE(IF(ISEVEN(COLUMN()),$B60,$C60),H$43,INT(balancing!$B$41/balancing!$B$33*H$43),CombatantLevelAttributeMod)</f>
      </c>
      <c r="I60" s="1">
        <f>ATTACKDAMAGE(IF(ISEVEN(COLUMN()),$B60,$C60),I$43,INT(balancing!$B$41/balancing!$B$33*I$43),CombatantLevelAttributeMod)</f>
      </c>
      <c r="J60" s="1">
        <f>ATTACKDAMAGE(IF(ISEVEN(COLUMN()),$B60,$C60),J$43,INT(balancing!$B$41/balancing!$B$33*J$43),CombatantLevelAttributeMod)</f>
      </c>
      <c r="K60" s="1">
        <f>ATTACKDAMAGE(IF(ISEVEN(COLUMN()),$B60,$C60),K$43,INT(balancing!$B$41/balancing!$B$33*K$43),CombatantLevelAttributeMod)</f>
      </c>
      <c r="L60" s="1">
        <f>ATTACKDAMAGE(IF(ISEVEN(COLUMN()),$B60,$C60),L$43,INT(balancing!$B$41/balancing!$B$33*L$43),CombatantLevelAttributeMod)</f>
      </c>
      <c r="M60" s="1">
        <f>ATTACKDAMAGE(IF(ISEVEN(COLUMN()),$B60,$C60),M$43,INT(balancing!$B$41/balancing!$B$33*M$43),CombatantLevelAttributeMod)</f>
      </c>
      <c r="N60" s="1">
        <f>ATTACKDAMAGE(IF(ISEVEN(COLUMN()),$B60,$C60),N$43,INT(balancing!$B$41/balancing!$B$33*N$43),CombatantLevelAttributeMod)</f>
      </c>
      <c r="O60" s="1">
        <f>ATTACKDAMAGE(IF(ISEVEN(COLUMN()),$B60,$C60),O$43,INT(balancing!$B$41/balancing!$B$33*O$43),CombatantLevelAttributeMod)</f>
      </c>
      <c r="P60" s="1">
        <f>ATTACKDAMAGE(IF(ISEVEN(COLUMN()),$B60,$C60),P$43,INT(balancing!$B$41/balancing!$B$33*P$43),CombatantLevelAttributeMod)</f>
      </c>
      <c r="Q60" s="1">
        <f>ATTACKDAMAGE(IF(ISEVEN(COLUMN()),$B60,$C60),Q$43,INT(balancing!$B$41/balancing!$B$33*Q$43),CombatantLevelAttributeMod)</f>
      </c>
      <c r="R60" s="1">
        <f>ATTACKDAMAGE(IF(ISEVEN(COLUMN()),$B60,$C60),R$43,INT(balancing!$B$41/balancing!$B$33*R$43),CombatantLevelAttributeMod)</f>
      </c>
      <c r="S60" s="1">
        <f>ATTACKDAMAGE(IF(ISEVEN(COLUMN()),$B60,$C60),S$43,INT(balancing!$B$41/balancing!$B$33*S$43),CombatantLevelAttributeMod)</f>
      </c>
      <c r="T60" s="1">
        <f>ATTACKDAMAGE(IF(ISEVEN(COLUMN()),$B60,$C60),T$43,INT(balancing!$B$41/balancing!$B$33*T$43),CombatantLevelAttributeMod)</f>
      </c>
      <c r="U60" s="1">
        <f>ATTACKDAMAGE(IF(ISEVEN(COLUMN()),$B60,$C60),U$43,INT(balancing!$B$41/balancing!$B$33*U$43),CombatantLevelAttributeMod)</f>
      </c>
      <c r="V60" s="1">
        <f>ATTACKDAMAGE(IF(ISEVEN(COLUMN()),$B60,$C60),V$43,INT(balancing!$B$41/balancing!$B$33*V$43),CombatantLevelAttributeMod)</f>
      </c>
      <c r="W60" s="1">
        <f>ATTACKDAMAGE(IF(ISEVEN(COLUMN()),$B60,$C60),W$43,INT(balancing!$B$41/balancing!$B$33*W$43),CombatantLevelAttributeMod)</f>
      </c>
    </row>
    <row r="61" spans="1:23" x14ac:dyDescent="0.25">
      <c r="A61" s="3">
        <f>'equipment-weapons'!A19</f>
      </c>
      <c r="B61" s="3">
        <f>'equipment-weapons'!F19</f>
      </c>
      <c r="C61" s="3">
        <f>'equipment-weapons'!G19</f>
      </c>
      <c r="D61" s="1">
        <f>ATTACKDAMAGE(IF(ISEVEN(COLUMN()),$B61,$C61),D$43,INT(balancing!$B$41/balancing!$B$33*D$43),CombatantLevelAttributeMod)</f>
      </c>
      <c r="E61" s="1">
        <f>ATTACKDAMAGE(IF(ISEVEN(COLUMN()),$B61,$C61),E$43,INT(balancing!$B$41/balancing!$B$33*E$43),CombatantLevelAttributeMod)</f>
      </c>
      <c r="F61" s="1">
        <f>ATTACKDAMAGE(IF(ISEVEN(COLUMN()),$B61,$C61),F$43,INT(balancing!$B$41/balancing!$B$33*F$43),CombatantLevelAttributeMod)</f>
      </c>
      <c r="G61" s="1">
        <f>ATTACKDAMAGE(IF(ISEVEN(COLUMN()),$B61,$C61),G$43,INT(balancing!$B$41/balancing!$B$33*G$43),CombatantLevelAttributeMod)</f>
      </c>
      <c r="H61" s="1">
        <f>ATTACKDAMAGE(IF(ISEVEN(COLUMN()),$B61,$C61),H$43,INT(balancing!$B$41/balancing!$B$33*H$43),CombatantLevelAttributeMod)</f>
      </c>
      <c r="I61" s="1">
        <f>ATTACKDAMAGE(IF(ISEVEN(COLUMN()),$B61,$C61),I$43,INT(balancing!$B$41/balancing!$B$33*I$43),CombatantLevelAttributeMod)</f>
      </c>
      <c r="J61" s="1">
        <f>ATTACKDAMAGE(IF(ISEVEN(COLUMN()),$B61,$C61),J$43,INT(balancing!$B$41/balancing!$B$33*J$43),CombatantLevelAttributeMod)</f>
      </c>
      <c r="K61" s="1">
        <f>ATTACKDAMAGE(IF(ISEVEN(COLUMN()),$B61,$C61),K$43,INT(balancing!$B$41/balancing!$B$33*K$43),CombatantLevelAttributeMod)</f>
      </c>
      <c r="L61" s="1">
        <f>ATTACKDAMAGE(IF(ISEVEN(COLUMN()),$B61,$C61),L$43,INT(balancing!$B$41/balancing!$B$33*L$43),CombatantLevelAttributeMod)</f>
      </c>
      <c r="M61" s="1">
        <f>ATTACKDAMAGE(IF(ISEVEN(COLUMN()),$B61,$C61),M$43,INT(balancing!$B$41/balancing!$B$33*M$43),CombatantLevelAttributeMod)</f>
      </c>
      <c r="N61" s="1">
        <f>ATTACKDAMAGE(IF(ISEVEN(COLUMN()),$B61,$C61),N$43,INT(balancing!$B$41/balancing!$B$33*N$43),CombatantLevelAttributeMod)</f>
      </c>
      <c r="O61" s="1">
        <f>ATTACKDAMAGE(IF(ISEVEN(COLUMN()),$B61,$C61),O$43,INT(balancing!$B$41/balancing!$B$33*O$43),CombatantLevelAttributeMod)</f>
      </c>
      <c r="P61" s="1">
        <f>ATTACKDAMAGE(IF(ISEVEN(COLUMN()),$B61,$C61),P$43,INT(balancing!$B$41/balancing!$B$33*P$43),CombatantLevelAttributeMod)</f>
      </c>
      <c r="Q61" s="1">
        <f>ATTACKDAMAGE(IF(ISEVEN(COLUMN()),$B61,$C61),Q$43,INT(balancing!$B$41/balancing!$B$33*Q$43),CombatantLevelAttributeMod)</f>
      </c>
      <c r="R61" s="1">
        <f>ATTACKDAMAGE(IF(ISEVEN(COLUMN()),$B61,$C61),R$43,INT(balancing!$B$41/balancing!$B$33*R$43),CombatantLevelAttributeMod)</f>
      </c>
      <c r="S61" s="1">
        <f>ATTACKDAMAGE(IF(ISEVEN(COLUMN()),$B61,$C61),S$43,INT(balancing!$B$41/balancing!$B$33*S$43),CombatantLevelAttributeMod)</f>
      </c>
      <c r="T61" s="1">
        <f>ATTACKDAMAGE(IF(ISEVEN(COLUMN()),$B61,$C61),T$43,INT(balancing!$B$41/balancing!$B$33*T$43),CombatantLevelAttributeMod)</f>
      </c>
      <c r="U61" s="1">
        <f>ATTACKDAMAGE(IF(ISEVEN(COLUMN()),$B61,$C61),U$43,INT(balancing!$B$41/balancing!$B$33*U$43),CombatantLevelAttributeMod)</f>
      </c>
      <c r="V61" s="1">
        <f>ATTACKDAMAGE(IF(ISEVEN(COLUMN()),$B61,$C61),V$43,INT(balancing!$B$41/balancing!$B$33*V$43),CombatantLevelAttributeMod)</f>
      </c>
      <c r="W61" s="1">
        <f>ATTACKDAMAGE(IF(ISEVEN(COLUMN()),$B61,$C61),W$43,INT(balancing!$B$41/balancing!$B$33*W$43),CombatantLevelAttributeMod)</f>
      </c>
    </row>
    <row r="62" spans="1:23" x14ac:dyDescent="0.25">
      <c r="A62" s="3">
        <f>'equipment-weapons'!A20</f>
      </c>
      <c r="B62" s="3">
        <f>'equipment-weapons'!F20</f>
      </c>
      <c r="C62" s="3">
        <f>'equipment-weapons'!G20</f>
      </c>
      <c r="D62" s="1">
        <f>ATTACKDAMAGE(IF(ISEVEN(COLUMN()),$B62,$C62),D$43,INT(balancing!$B$41/balancing!$B$33*D$43),CombatantLevelAttributeMod)</f>
      </c>
      <c r="E62" s="1">
        <f>ATTACKDAMAGE(IF(ISEVEN(COLUMN()),$B62,$C62),E$43,INT(balancing!$B$41/balancing!$B$33*E$43),CombatantLevelAttributeMod)</f>
      </c>
      <c r="F62" s="1">
        <f>ATTACKDAMAGE(IF(ISEVEN(COLUMN()),$B62,$C62),F$43,INT(balancing!$B$41/balancing!$B$33*F$43),CombatantLevelAttributeMod)</f>
      </c>
      <c r="G62" s="1">
        <f>ATTACKDAMAGE(IF(ISEVEN(COLUMN()),$B62,$C62),G$43,INT(balancing!$B$41/balancing!$B$33*G$43),CombatantLevelAttributeMod)</f>
      </c>
      <c r="H62" s="1">
        <f>ATTACKDAMAGE(IF(ISEVEN(COLUMN()),$B62,$C62),H$43,INT(balancing!$B$41/balancing!$B$33*H$43),CombatantLevelAttributeMod)</f>
      </c>
      <c r="I62" s="1">
        <f>ATTACKDAMAGE(IF(ISEVEN(COLUMN()),$B62,$C62),I$43,INT(balancing!$B$41/balancing!$B$33*I$43),CombatantLevelAttributeMod)</f>
      </c>
      <c r="J62" s="1">
        <f>ATTACKDAMAGE(IF(ISEVEN(COLUMN()),$B62,$C62),J$43,INT(balancing!$B$41/balancing!$B$33*J$43),CombatantLevelAttributeMod)</f>
      </c>
      <c r="K62" s="1">
        <f>ATTACKDAMAGE(IF(ISEVEN(COLUMN()),$B62,$C62),K$43,INT(balancing!$B$41/balancing!$B$33*K$43),CombatantLevelAttributeMod)</f>
      </c>
      <c r="L62" s="1">
        <f>ATTACKDAMAGE(IF(ISEVEN(COLUMN()),$B62,$C62),L$43,INT(balancing!$B$41/balancing!$B$33*L$43),CombatantLevelAttributeMod)</f>
      </c>
      <c r="M62" s="1">
        <f>ATTACKDAMAGE(IF(ISEVEN(COLUMN()),$B62,$C62),M$43,INT(balancing!$B$41/balancing!$B$33*M$43),CombatantLevelAttributeMod)</f>
      </c>
      <c r="N62" s="1">
        <f>ATTACKDAMAGE(IF(ISEVEN(COLUMN()),$B62,$C62),N$43,INT(balancing!$B$41/balancing!$B$33*N$43),CombatantLevelAttributeMod)</f>
      </c>
      <c r="O62" s="1">
        <f>ATTACKDAMAGE(IF(ISEVEN(COLUMN()),$B62,$C62),O$43,INT(balancing!$B$41/balancing!$B$33*O$43),CombatantLevelAttributeMod)</f>
      </c>
      <c r="P62" s="1">
        <f>ATTACKDAMAGE(IF(ISEVEN(COLUMN()),$B62,$C62),P$43,INT(balancing!$B$41/balancing!$B$33*P$43),CombatantLevelAttributeMod)</f>
      </c>
      <c r="Q62" s="1">
        <f>ATTACKDAMAGE(IF(ISEVEN(COLUMN()),$B62,$C62),Q$43,INT(balancing!$B$41/balancing!$B$33*Q$43),CombatantLevelAttributeMod)</f>
      </c>
      <c r="R62" s="1">
        <f>ATTACKDAMAGE(IF(ISEVEN(COLUMN()),$B62,$C62),R$43,INT(balancing!$B$41/balancing!$B$33*R$43),CombatantLevelAttributeMod)</f>
      </c>
      <c r="S62" s="1">
        <f>ATTACKDAMAGE(IF(ISEVEN(COLUMN()),$B62,$C62),S$43,INT(balancing!$B$41/balancing!$B$33*S$43),CombatantLevelAttributeMod)</f>
      </c>
      <c r="T62" s="1">
        <f>ATTACKDAMAGE(IF(ISEVEN(COLUMN()),$B62,$C62),T$43,INT(balancing!$B$41/balancing!$B$33*T$43),CombatantLevelAttributeMod)</f>
      </c>
      <c r="U62" s="1">
        <f>ATTACKDAMAGE(IF(ISEVEN(COLUMN()),$B62,$C62),U$43,INT(balancing!$B$41/balancing!$B$33*U$43),CombatantLevelAttributeMod)</f>
      </c>
      <c r="V62" s="1">
        <f>ATTACKDAMAGE(IF(ISEVEN(COLUMN()),$B62,$C62),V$43,INT(balancing!$B$41/balancing!$B$33*V$43),CombatantLevelAttributeMod)</f>
      </c>
      <c r="W62" s="1">
        <f>ATTACKDAMAGE(IF(ISEVEN(COLUMN()),$B62,$C62),W$43,INT(balancing!$B$41/balancing!$B$33*W$43),CombatantLevelAttributeMod)</f>
      </c>
    </row>
    <row r="63" spans="1:23" x14ac:dyDescent="0.25">
      <c r="A63" s="3">
        <f>'equipment-weapons'!A21</f>
      </c>
      <c r="B63" s="3">
        <f>'equipment-weapons'!F21</f>
      </c>
      <c r="C63" s="3">
        <f>'equipment-weapons'!G21</f>
      </c>
      <c r="D63" s="1">
        <f>ATTACKDAMAGE(IF(ISEVEN(COLUMN()),$B63,$C63),D$43,INT(balancing!$B$41/balancing!$B$33*D$43),CombatantLevelAttributeMod)</f>
      </c>
      <c r="E63" s="1">
        <f>ATTACKDAMAGE(IF(ISEVEN(COLUMN()),$B63,$C63),E$43,INT(balancing!$B$41/balancing!$B$33*E$43),CombatantLevelAttributeMod)</f>
      </c>
      <c r="F63" s="1">
        <f>ATTACKDAMAGE(IF(ISEVEN(COLUMN()),$B63,$C63),F$43,INT(balancing!$B$41/balancing!$B$33*F$43),CombatantLevelAttributeMod)</f>
      </c>
      <c r="G63" s="1">
        <f>ATTACKDAMAGE(IF(ISEVEN(COLUMN()),$B63,$C63),G$43,INT(balancing!$B$41/balancing!$B$33*G$43),CombatantLevelAttributeMod)</f>
      </c>
      <c r="H63" s="1">
        <f>ATTACKDAMAGE(IF(ISEVEN(COLUMN()),$B63,$C63),H$43,INT(balancing!$B$41/balancing!$B$33*H$43),CombatantLevelAttributeMod)</f>
      </c>
      <c r="I63" s="1">
        <f>ATTACKDAMAGE(IF(ISEVEN(COLUMN()),$B63,$C63),I$43,INT(balancing!$B$41/balancing!$B$33*I$43),CombatantLevelAttributeMod)</f>
      </c>
      <c r="J63" s="1">
        <f>ATTACKDAMAGE(IF(ISEVEN(COLUMN()),$B63,$C63),J$43,INT(balancing!$B$41/balancing!$B$33*J$43),CombatantLevelAttributeMod)</f>
      </c>
      <c r="K63" s="1">
        <f>ATTACKDAMAGE(IF(ISEVEN(COLUMN()),$B63,$C63),K$43,INT(balancing!$B$41/balancing!$B$33*K$43),CombatantLevelAttributeMod)</f>
      </c>
      <c r="L63" s="1">
        <f>ATTACKDAMAGE(IF(ISEVEN(COLUMN()),$B63,$C63),L$43,INT(balancing!$B$41/balancing!$B$33*L$43),CombatantLevelAttributeMod)</f>
      </c>
      <c r="M63" s="1">
        <f>ATTACKDAMAGE(IF(ISEVEN(COLUMN()),$B63,$C63),M$43,INT(balancing!$B$41/balancing!$B$33*M$43),CombatantLevelAttributeMod)</f>
      </c>
      <c r="N63" s="1">
        <f>ATTACKDAMAGE(IF(ISEVEN(COLUMN()),$B63,$C63),N$43,INT(balancing!$B$41/balancing!$B$33*N$43),CombatantLevelAttributeMod)</f>
      </c>
      <c r="O63" s="1">
        <f>ATTACKDAMAGE(IF(ISEVEN(COLUMN()),$B63,$C63),O$43,INT(balancing!$B$41/balancing!$B$33*O$43),CombatantLevelAttributeMod)</f>
      </c>
      <c r="P63" s="1">
        <f>ATTACKDAMAGE(IF(ISEVEN(COLUMN()),$B63,$C63),P$43,INT(balancing!$B$41/balancing!$B$33*P$43),CombatantLevelAttributeMod)</f>
      </c>
      <c r="Q63" s="1">
        <f>ATTACKDAMAGE(IF(ISEVEN(COLUMN()),$B63,$C63),Q$43,INT(balancing!$B$41/balancing!$B$33*Q$43),CombatantLevelAttributeMod)</f>
      </c>
      <c r="R63" s="1">
        <f>ATTACKDAMAGE(IF(ISEVEN(COLUMN()),$B63,$C63),R$43,INT(balancing!$B$41/balancing!$B$33*R$43),CombatantLevelAttributeMod)</f>
      </c>
      <c r="S63" s="1">
        <f>ATTACKDAMAGE(IF(ISEVEN(COLUMN()),$B63,$C63),S$43,INT(balancing!$B$41/balancing!$B$33*S$43),CombatantLevelAttributeMod)</f>
      </c>
      <c r="T63" s="1">
        <f>ATTACKDAMAGE(IF(ISEVEN(COLUMN()),$B63,$C63),T$43,INT(balancing!$B$41/balancing!$B$33*T$43),CombatantLevelAttributeMod)</f>
      </c>
      <c r="U63" s="1">
        <f>ATTACKDAMAGE(IF(ISEVEN(COLUMN()),$B63,$C63),U$43,INT(balancing!$B$41/balancing!$B$33*U$43),CombatantLevelAttributeMod)</f>
      </c>
      <c r="V63" s="1">
        <f>ATTACKDAMAGE(IF(ISEVEN(COLUMN()),$B63,$C63),V$43,INT(balancing!$B$41/balancing!$B$33*V$43),CombatantLevelAttributeMod)</f>
      </c>
      <c r="W63" s="1">
        <f>ATTACKDAMAGE(IF(ISEVEN(COLUMN()),$B63,$C63),W$43,INT(balancing!$B$41/balancing!$B$33*W$43),CombatantLevelAttributeMod)</f>
      </c>
    </row>
    <row r="64" spans="1:23" x14ac:dyDescent="0.25">
      <c r="A64" s="3">
        <f>'equipment-weapons'!A22</f>
      </c>
      <c r="B64" s="3">
        <f>'equipment-weapons'!F22</f>
      </c>
      <c r="C64" s="3">
        <f>'equipment-weapons'!G22</f>
      </c>
      <c r="D64" s="1">
        <f>ATTACKDAMAGE(IF(ISEVEN(COLUMN()),$B64,$C64),D$43,INT(balancing!$B$41/balancing!$B$33*D$43),CombatantLevelAttributeMod)</f>
      </c>
      <c r="E64" s="1">
        <f>ATTACKDAMAGE(IF(ISEVEN(COLUMN()),$B64,$C64),E$43,INT(balancing!$B$41/balancing!$B$33*E$43),CombatantLevelAttributeMod)</f>
      </c>
      <c r="F64" s="1">
        <f>ATTACKDAMAGE(IF(ISEVEN(COLUMN()),$B64,$C64),F$43,INT(balancing!$B$41/balancing!$B$33*F$43),CombatantLevelAttributeMod)</f>
      </c>
      <c r="G64" s="1">
        <f>ATTACKDAMAGE(IF(ISEVEN(COLUMN()),$B64,$C64),G$43,INT(balancing!$B$41/balancing!$B$33*G$43),CombatantLevelAttributeMod)</f>
      </c>
      <c r="H64" s="1">
        <f>ATTACKDAMAGE(IF(ISEVEN(COLUMN()),$B64,$C64),H$43,INT(balancing!$B$41/balancing!$B$33*H$43),CombatantLevelAttributeMod)</f>
      </c>
      <c r="I64" s="1">
        <f>ATTACKDAMAGE(IF(ISEVEN(COLUMN()),$B64,$C64),I$43,INT(balancing!$B$41/balancing!$B$33*I$43),CombatantLevelAttributeMod)</f>
      </c>
      <c r="J64" s="1">
        <f>ATTACKDAMAGE(IF(ISEVEN(COLUMN()),$B64,$C64),J$43,INT(balancing!$B$41/balancing!$B$33*J$43),CombatantLevelAttributeMod)</f>
      </c>
      <c r="K64" s="1">
        <f>ATTACKDAMAGE(IF(ISEVEN(COLUMN()),$B64,$C64),K$43,INT(balancing!$B$41/balancing!$B$33*K$43),CombatantLevelAttributeMod)</f>
      </c>
      <c r="L64" s="1">
        <f>ATTACKDAMAGE(IF(ISEVEN(COLUMN()),$B64,$C64),L$43,INT(balancing!$B$41/balancing!$B$33*L$43),CombatantLevelAttributeMod)</f>
      </c>
      <c r="M64" s="1">
        <f>ATTACKDAMAGE(IF(ISEVEN(COLUMN()),$B64,$C64),M$43,INT(balancing!$B$41/balancing!$B$33*M$43),CombatantLevelAttributeMod)</f>
      </c>
      <c r="N64" s="1">
        <f>ATTACKDAMAGE(IF(ISEVEN(COLUMN()),$B64,$C64),N$43,INT(balancing!$B$41/balancing!$B$33*N$43),CombatantLevelAttributeMod)</f>
      </c>
      <c r="O64" s="1">
        <f>ATTACKDAMAGE(IF(ISEVEN(COLUMN()),$B64,$C64),O$43,INT(balancing!$B$41/balancing!$B$33*O$43),CombatantLevelAttributeMod)</f>
      </c>
      <c r="P64" s="1">
        <f>ATTACKDAMAGE(IF(ISEVEN(COLUMN()),$B64,$C64),P$43,INT(balancing!$B$41/balancing!$B$33*P$43),CombatantLevelAttributeMod)</f>
      </c>
      <c r="Q64" s="1">
        <f>ATTACKDAMAGE(IF(ISEVEN(COLUMN()),$B64,$C64),Q$43,INT(balancing!$B$41/balancing!$B$33*Q$43),CombatantLevelAttributeMod)</f>
      </c>
      <c r="R64" s="1">
        <f>ATTACKDAMAGE(IF(ISEVEN(COLUMN()),$B64,$C64),R$43,INT(balancing!$B$41/balancing!$B$33*R$43),CombatantLevelAttributeMod)</f>
      </c>
      <c r="S64" s="1">
        <f>ATTACKDAMAGE(IF(ISEVEN(COLUMN()),$B64,$C64),S$43,INT(balancing!$B$41/balancing!$B$33*S$43),CombatantLevelAttributeMod)</f>
      </c>
      <c r="T64" s="1">
        <f>ATTACKDAMAGE(IF(ISEVEN(COLUMN()),$B64,$C64),T$43,INT(balancing!$B$41/balancing!$B$33*T$43),CombatantLevelAttributeMod)</f>
      </c>
      <c r="U64" s="1">
        <f>ATTACKDAMAGE(IF(ISEVEN(COLUMN()),$B64,$C64),U$43,INT(balancing!$B$41/balancing!$B$33*U$43),CombatantLevelAttributeMod)</f>
      </c>
      <c r="V64" s="1">
        <f>ATTACKDAMAGE(IF(ISEVEN(COLUMN()),$B64,$C64),V$43,INT(balancing!$B$41/balancing!$B$33*V$43),CombatantLevelAttributeMod)</f>
      </c>
      <c r="W64" s="1">
        <f>ATTACKDAMAGE(IF(ISEVEN(COLUMN()),$B64,$C64),W$43,INT(balancing!$B$41/balancing!$B$33*W$43),CombatantLevelAttributeMod)</f>
      </c>
    </row>
    <row r="65" spans="1:23" x14ac:dyDescent="0.25">
      <c r="A65" s="3">
        <f>'equipment-weapons'!A23</f>
      </c>
      <c r="B65" s="3">
        <f>'equipment-weapons'!F23</f>
      </c>
      <c r="C65" s="3">
        <f>'equipment-weapons'!G23</f>
      </c>
      <c r="D65" s="1">
        <f>ATTACKDAMAGE(IF(ISEVEN(COLUMN()),$B65,$C65),D$43,INT(balancing!$B$41/balancing!$B$33*D$43),CombatantLevelAttributeMod)</f>
      </c>
      <c r="E65" s="1">
        <f>ATTACKDAMAGE(IF(ISEVEN(COLUMN()),$B65,$C65),E$43,INT(balancing!$B$41/balancing!$B$33*E$43),CombatantLevelAttributeMod)</f>
      </c>
      <c r="F65" s="1">
        <f>ATTACKDAMAGE(IF(ISEVEN(COLUMN()),$B65,$C65),F$43,INT(balancing!$B$41/balancing!$B$33*F$43),CombatantLevelAttributeMod)</f>
      </c>
      <c r="G65" s="1">
        <f>ATTACKDAMAGE(IF(ISEVEN(COLUMN()),$B65,$C65),G$43,INT(balancing!$B$41/balancing!$B$33*G$43),CombatantLevelAttributeMod)</f>
      </c>
      <c r="H65" s="1">
        <f>ATTACKDAMAGE(IF(ISEVEN(COLUMN()),$B65,$C65),H$43,INT(balancing!$B$41/balancing!$B$33*H$43),CombatantLevelAttributeMod)</f>
      </c>
      <c r="I65" s="1">
        <f>ATTACKDAMAGE(IF(ISEVEN(COLUMN()),$B65,$C65),I$43,INT(balancing!$B$41/balancing!$B$33*I$43),CombatantLevelAttributeMod)</f>
      </c>
      <c r="J65" s="1">
        <f>ATTACKDAMAGE(IF(ISEVEN(COLUMN()),$B65,$C65),J$43,INT(balancing!$B$41/balancing!$B$33*J$43),CombatantLevelAttributeMod)</f>
      </c>
      <c r="K65" s="1">
        <f>ATTACKDAMAGE(IF(ISEVEN(COLUMN()),$B65,$C65),K$43,INT(balancing!$B$41/balancing!$B$33*K$43),CombatantLevelAttributeMod)</f>
      </c>
      <c r="L65" s="1">
        <f>ATTACKDAMAGE(IF(ISEVEN(COLUMN()),$B65,$C65),L$43,INT(balancing!$B$41/balancing!$B$33*L$43),CombatantLevelAttributeMod)</f>
      </c>
      <c r="M65" s="1">
        <f>ATTACKDAMAGE(IF(ISEVEN(COLUMN()),$B65,$C65),M$43,INT(balancing!$B$41/balancing!$B$33*M$43),CombatantLevelAttributeMod)</f>
      </c>
      <c r="N65" s="1">
        <f>ATTACKDAMAGE(IF(ISEVEN(COLUMN()),$B65,$C65),N$43,INT(balancing!$B$41/balancing!$B$33*N$43),CombatantLevelAttributeMod)</f>
      </c>
      <c r="O65" s="1">
        <f>ATTACKDAMAGE(IF(ISEVEN(COLUMN()),$B65,$C65),O$43,INT(balancing!$B$41/balancing!$B$33*O$43),CombatantLevelAttributeMod)</f>
      </c>
      <c r="P65" s="1">
        <f>ATTACKDAMAGE(IF(ISEVEN(COLUMN()),$B65,$C65),P$43,INT(balancing!$B$41/balancing!$B$33*P$43),CombatantLevelAttributeMod)</f>
      </c>
      <c r="Q65" s="1">
        <f>ATTACKDAMAGE(IF(ISEVEN(COLUMN()),$B65,$C65),Q$43,INT(balancing!$B$41/balancing!$B$33*Q$43),CombatantLevelAttributeMod)</f>
      </c>
      <c r="R65" s="1">
        <f>ATTACKDAMAGE(IF(ISEVEN(COLUMN()),$B65,$C65),R$43,INT(balancing!$B$41/balancing!$B$33*R$43),CombatantLevelAttributeMod)</f>
      </c>
      <c r="S65" s="1">
        <f>ATTACKDAMAGE(IF(ISEVEN(COLUMN()),$B65,$C65),S$43,INT(balancing!$B$41/balancing!$B$33*S$43),CombatantLevelAttributeMod)</f>
      </c>
      <c r="T65" s="1">
        <f>ATTACKDAMAGE(IF(ISEVEN(COLUMN()),$B65,$C65),T$43,INT(balancing!$B$41/balancing!$B$33*T$43),CombatantLevelAttributeMod)</f>
      </c>
      <c r="U65" s="1">
        <f>ATTACKDAMAGE(IF(ISEVEN(COLUMN()),$B65,$C65),U$43,INT(balancing!$B$41/balancing!$B$33*U$43),CombatantLevelAttributeMod)</f>
      </c>
      <c r="V65" s="1">
        <f>ATTACKDAMAGE(IF(ISEVEN(COLUMN()),$B65,$C65),V$43,INT(balancing!$B$41/balancing!$B$33*V$43),CombatantLevelAttributeMod)</f>
      </c>
      <c r="W65" s="1">
        <f>ATTACKDAMAGE(IF(ISEVEN(COLUMN()),$B65,$C65),W$43,INT(balancing!$B$41/balancing!$B$33*W$43),CombatantLevelAttributeMod)</f>
      </c>
    </row>
    <row r="66" spans="1:23" x14ac:dyDescent="0.25">
      <c r="A66" s="3">
        <f>'equipment-weapons'!A24</f>
      </c>
      <c r="B66" s="3">
        <f>'equipment-weapons'!F24</f>
      </c>
      <c r="C66" s="3">
        <f>'equipment-weapons'!G24</f>
      </c>
      <c r="D66" s="1">
        <f>ATTACKDAMAGE(IF(ISEVEN(COLUMN()),$B66,$C66),D$43,INT(balancing!$B$41/balancing!$B$33*D$43),CombatantLevelAttributeMod)</f>
      </c>
      <c r="E66" s="1">
        <f>ATTACKDAMAGE(IF(ISEVEN(COLUMN()),$B66,$C66),E$43,INT(balancing!$B$41/balancing!$B$33*E$43),CombatantLevelAttributeMod)</f>
      </c>
      <c r="F66" s="1">
        <f>ATTACKDAMAGE(IF(ISEVEN(COLUMN()),$B66,$C66),F$43,INT(balancing!$B$41/balancing!$B$33*F$43),CombatantLevelAttributeMod)</f>
      </c>
      <c r="G66" s="1">
        <f>ATTACKDAMAGE(IF(ISEVEN(COLUMN()),$B66,$C66),G$43,INT(balancing!$B$41/balancing!$B$33*G$43),CombatantLevelAttributeMod)</f>
      </c>
      <c r="H66" s="1">
        <f>ATTACKDAMAGE(IF(ISEVEN(COLUMN()),$B66,$C66),H$43,INT(balancing!$B$41/balancing!$B$33*H$43),CombatantLevelAttributeMod)</f>
      </c>
      <c r="I66" s="1">
        <f>ATTACKDAMAGE(IF(ISEVEN(COLUMN()),$B66,$C66),I$43,INT(balancing!$B$41/balancing!$B$33*I$43),CombatantLevelAttributeMod)</f>
      </c>
      <c r="J66" s="1">
        <f>ATTACKDAMAGE(IF(ISEVEN(COLUMN()),$B66,$C66),J$43,INT(balancing!$B$41/balancing!$B$33*J$43),CombatantLevelAttributeMod)</f>
      </c>
      <c r="K66" s="1">
        <f>ATTACKDAMAGE(IF(ISEVEN(COLUMN()),$B66,$C66),K$43,INT(balancing!$B$41/balancing!$B$33*K$43),CombatantLevelAttributeMod)</f>
      </c>
      <c r="L66" s="1">
        <f>ATTACKDAMAGE(IF(ISEVEN(COLUMN()),$B66,$C66),L$43,INT(balancing!$B$41/balancing!$B$33*L$43),CombatantLevelAttributeMod)</f>
      </c>
      <c r="M66" s="1">
        <f>ATTACKDAMAGE(IF(ISEVEN(COLUMN()),$B66,$C66),M$43,INT(balancing!$B$41/balancing!$B$33*M$43),CombatantLevelAttributeMod)</f>
      </c>
      <c r="N66" s="1">
        <f>ATTACKDAMAGE(IF(ISEVEN(COLUMN()),$B66,$C66),N$43,INT(balancing!$B$41/balancing!$B$33*N$43),CombatantLevelAttributeMod)</f>
      </c>
      <c r="O66" s="1">
        <f>ATTACKDAMAGE(IF(ISEVEN(COLUMN()),$B66,$C66),O$43,INT(balancing!$B$41/balancing!$B$33*O$43),CombatantLevelAttributeMod)</f>
      </c>
      <c r="P66" s="1">
        <f>ATTACKDAMAGE(IF(ISEVEN(COLUMN()),$B66,$C66),P$43,INT(balancing!$B$41/balancing!$B$33*P$43),CombatantLevelAttributeMod)</f>
      </c>
      <c r="Q66" s="1">
        <f>ATTACKDAMAGE(IF(ISEVEN(COLUMN()),$B66,$C66),Q$43,INT(balancing!$B$41/balancing!$B$33*Q$43),CombatantLevelAttributeMod)</f>
      </c>
      <c r="R66" s="1">
        <f>ATTACKDAMAGE(IF(ISEVEN(COLUMN()),$B66,$C66),R$43,INT(balancing!$B$41/balancing!$B$33*R$43),CombatantLevelAttributeMod)</f>
      </c>
      <c r="S66" s="1">
        <f>ATTACKDAMAGE(IF(ISEVEN(COLUMN()),$B66,$C66),S$43,INT(balancing!$B$41/balancing!$B$33*S$43),CombatantLevelAttributeMod)</f>
      </c>
      <c r="T66" s="1">
        <f>ATTACKDAMAGE(IF(ISEVEN(COLUMN()),$B66,$C66),T$43,INT(balancing!$B$41/balancing!$B$33*T$43),CombatantLevelAttributeMod)</f>
      </c>
      <c r="U66" s="1">
        <f>ATTACKDAMAGE(IF(ISEVEN(COLUMN()),$B66,$C66),U$43,INT(balancing!$B$41/balancing!$B$33*U$43),CombatantLevelAttributeMod)</f>
      </c>
      <c r="V66" s="1">
        <f>ATTACKDAMAGE(IF(ISEVEN(COLUMN()),$B66,$C66),V$43,INT(balancing!$B$41/balancing!$B$33*V$43),CombatantLevelAttributeMod)</f>
      </c>
      <c r="W66" s="1">
        <f>ATTACKDAMAGE(IF(ISEVEN(COLUMN()),$B66,$C66),W$43,INT(balancing!$B$41/balancing!$B$33*W$43),CombatantLevelAttributeMod)</f>
      </c>
    </row>
    <row r="67" spans="1:23" x14ac:dyDescent="0.25">
      <c r="A67" s="3">
        <f>'equipment-weapons'!A25</f>
      </c>
      <c r="B67" s="3">
        <f>'equipment-weapons'!F25</f>
      </c>
      <c r="C67" s="3">
        <f>'equipment-weapons'!G25</f>
      </c>
      <c r="D67" s="1">
        <f>ATTACKDAMAGE(IF(ISEVEN(COLUMN()),$B67,$C67),D$43,INT(balancing!$B$41/balancing!$B$33*D$43),CombatantLevelAttributeMod)</f>
      </c>
      <c r="E67" s="1">
        <f>ATTACKDAMAGE(IF(ISEVEN(COLUMN()),$B67,$C67),E$43,INT(balancing!$B$41/balancing!$B$33*E$43),CombatantLevelAttributeMod)</f>
      </c>
      <c r="F67" s="1">
        <f>ATTACKDAMAGE(IF(ISEVEN(COLUMN()),$B67,$C67),F$43,INT(balancing!$B$41/balancing!$B$33*F$43),CombatantLevelAttributeMod)</f>
      </c>
      <c r="G67" s="1">
        <f>ATTACKDAMAGE(IF(ISEVEN(COLUMN()),$B67,$C67),G$43,INT(balancing!$B$41/balancing!$B$33*G$43),CombatantLevelAttributeMod)</f>
      </c>
      <c r="H67" s="1">
        <f>ATTACKDAMAGE(IF(ISEVEN(COLUMN()),$B67,$C67),H$43,INT(balancing!$B$41/balancing!$B$33*H$43),CombatantLevelAttributeMod)</f>
      </c>
      <c r="I67" s="1">
        <f>ATTACKDAMAGE(IF(ISEVEN(COLUMN()),$B67,$C67),I$43,INT(balancing!$B$41/balancing!$B$33*I$43),CombatantLevelAttributeMod)</f>
      </c>
      <c r="J67" s="1">
        <f>ATTACKDAMAGE(IF(ISEVEN(COLUMN()),$B67,$C67),J$43,INT(balancing!$B$41/balancing!$B$33*J$43),CombatantLevelAttributeMod)</f>
      </c>
      <c r="K67" s="1">
        <f>ATTACKDAMAGE(IF(ISEVEN(COLUMN()),$B67,$C67),K$43,INT(balancing!$B$41/balancing!$B$33*K$43),CombatantLevelAttributeMod)</f>
      </c>
      <c r="L67" s="1">
        <f>ATTACKDAMAGE(IF(ISEVEN(COLUMN()),$B67,$C67),L$43,INT(balancing!$B$41/balancing!$B$33*L$43),CombatantLevelAttributeMod)</f>
      </c>
      <c r="M67" s="1">
        <f>ATTACKDAMAGE(IF(ISEVEN(COLUMN()),$B67,$C67),M$43,INT(balancing!$B$41/balancing!$B$33*M$43),CombatantLevelAttributeMod)</f>
      </c>
      <c r="N67" s="1">
        <f>ATTACKDAMAGE(IF(ISEVEN(COLUMN()),$B67,$C67),N$43,INT(balancing!$B$41/balancing!$B$33*N$43),CombatantLevelAttributeMod)</f>
      </c>
      <c r="O67" s="1">
        <f>ATTACKDAMAGE(IF(ISEVEN(COLUMN()),$B67,$C67),O$43,INT(balancing!$B$41/balancing!$B$33*O$43),CombatantLevelAttributeMod)</f>
      </c>
      <c r="P67" s="1">
        <f>ATTACKDAMAGE(IF(ISEVEN(COLUMN()),$B67,$C67),P$43,INT(balancing!$B$41/balancing!$B$33*P$43),CombatantLevelAttributeMod)</f>
      </c>
      <c r="Q67" s="1">
        <f>ATTACKDAMAGE(IF(ISEVEN(COLUMN()),$B67,$C67),Q$43,INT(balancing!$B$41/balancing!$B$33*Q$43),CombatantLevelAttributeMod)</f>
      </c>
      <c r="R67" s="1">
        <f>ATTACKDAMAGE(IF(ISEVEN(COLUMN()),$B67,$C67),R$43,INT(balancing!$B$41/balancing!$B$33*R$43),CombatantLevelAttributeMod)</f>
      </c>
      <c r="S67" s="1">
        <f>ATTACKDAMAGE(IF(ISEVEN(COLUMN()),$B67,$C67),S$43,INT(balancing!$B$41/balancing!$B$33*S$43),CombatantLevelAttributeMod)</f>
      </c>
      <c r="T67" s="1">
        <f>ATTACKDAMAGE(IF(ISEVEN(COLUMN()),$B67,$C67),T$43,INT(balancing!$B$41/balancing!$B$33*T$43),CombatantLevelAttributeMod)</f>
      </c>
      <c r="U67" s="1">
        <f>ATTACKDAMAGE(IF(ISEVEN(COLUMN()),$B67,$C67),U$43,INT(balancing!$B$41/balancing!$B$33*U$43),CombatantLevelAttributeMod)</f>
      </c>
      <c r="V67" s="1">
        <f>ATTACKDAMAGE(IF(ISEVEN(COLUMN()),$B67,$C67),V$43,INT(balancing!$B$41/balancing!$B$33*V$43),CombatantLevelAttributeMod)</f>
      </c>
      <c r="W67" s="1">
        <f>ATTACKDAMAGE(IF(ISEVEN(COLUMN()),$B67,$C67),W$43,INT(balancing!$B$41/balancing!$B$33*W$43),CombatantLevelAttributeMod)</f>
      </c>
    </row>
    <row r="68" spans="1:23" x14ac:dyDescent="0.25">
      <c r="A68" s="3">
        <f>'equipment-weapons'!A26</f>
      </c>
      <c r="B68" s="3">
        <f>'equipment-weapons'!F26</f>
      </c>
      <c r="C68" s="3">
        <f>'equipment-weapons'!G26</f>
      </c>
      <c r="D68" s="1">
        <f>ATTACKDAMAGE(IF(ISEVEN(COLUMN()),$B68,$C68),D$43,INT(balancing!$B$41/balancing!$B$33*D$43),CombatantLevelAttributeMod)</f>
      </c>
      <c r="E68" s="1">
        <f>ATTACKDAMAGE(IF(ISEVEN(COLUMN()),$B68,$C68),E$43,INT(balancing!$B$41/balancing!$B$33*E$43),CombatantLevelAttributeMod)</f>
      </c>
      <c r="F68" s="1">
        <f>ATTACKDAMAGE(IF(ISEVEN(COLUMN()),$B68,$C68),F$43,INT(balancing!$B$41/balancing!$B$33*F$43),CombatantLevelAttributeMod)</f>
      </c>
      <c r="G68" s="1">
        <f>ATTACKDAMAGE(IF(ISEVEN(COLUMN()),$B68,$C68),G$43,INT(balancing!$B$41/balancing!$B$33*G$43),CombatantLevelAttributeMod)</f>
      </c>
      <c r="H68" s="1">
        <f>ATTACKDAMAGE(IF(ISEVEN(COLUMN()),$B68,$C68),H$43,INT(balancing!$B$41/balancing!$B$33*H$43),CombatantLevelAttributeMod)</f>
      </c>
      <c r="I68" s="1">
        <f>ATTACKDAMAGE(IF(ISEVEN(COLUMN()),$B68,$C68),I$43,INT(balancing!$B$41/balancing!$B$33*I$43),CombatantLevelAttributeMod)</f>
      </c>
      <c r="J68" s="1">
        <f>ATTACKDAMAGE(IF(ISEVEN(COLUMN()),$B68,$C68),J$43,INT(balancing!$B$41/balancing!$B$33*J$43),CombatantLevelAttributeMod)</f>
      </c>
      <c r="K68" s="1">
        <f>ATTACKDAMAGE(IF(ISEVEN(COLUMN()),$B68,$C68),K$43,INT(balancing!$B$41/balancing!$B$33*K$43),CombatantLevelAttributeMod)</f>
      </c>
      <c r="L68" s="1">
        <f>ATTACKDAMAGE(IF(ISEVEN(COLUMN()),$B68,$C68),L$43,INT(balancing!$B$41/balancing!$B$33*L$43),CombatantLevelAttributeMod)</f>
      </c>
      <c r="M68" s="1">
        <f>ATTACKDAMAGE(IF(ISEVEN(COLUMN()),$B68,$C68),M$43,INT(balancing!$B$41/balancing!$B$33*M$43),CombatantLevelAttributeMod)</f>
      </c>
      <c r="N68" s="1">
        <f>ATTACKDAMAGE(IF(ISEVEN(COLUMN()),$B68,$C68),N$43,INT(balancing!$B$41/balancing!$B$33*N$43),CombatantLevelAttributeMod)</f>
      </c>
      <c r="O68" s="1">
        <f>ATTACKDAMAGE(IF(ISEVEN(COLUMN()),$B68,$C68),O$43,INT(balancing!$B$41/balancing!$B$33*O$43),CombatantLevelAttributeMod)</f>
      </c>
      <c r="P68" s="1">
        <f>ATTACKDAMAGE(IF(ISEVEN(COLUMN()),$B68,$C68),P$43,INT(balancing!$B$41/balancing!$B$33*P$43),CombatantLevelAttributeMod)</f>
      </c>
      <c r="Q68" s="1">
        <f>ATTACKDAMAGE(IF(ISEVEN(COLUMN()),$B68,$C68),Q$43,INT(balancing!$B$41/balancing!$B$33*Q$43),CombatantLevelAttributeMod)</f>
      </c>
      <c r="R68" s="1">
        <f>ATTACKDAMAGE(IF(ISEVEN(COLUMN()),$B68,$C68),R$43,INT(balancing!$B$41/balancing!$B$33*R$43),CombatantLevelAttributeMod)</f>
      </c>
      <c r="S68" s="1">
        <f>ATTACKDAMAGE(IF(ISEVEN(COLUMN()),$B68,$C68),S$43,INT(balancing!$B$41/balancing!$B$33*S$43),CombatantLevelAttributeMod)</f>
      </c>
      <c r="T68" s="1">
        <f>ATTACKDAMAGE(IF(ISEVEN(COLUMN()),$B68,$C68),T$43,INT(balancing!$B$41/balancing!$B$33*T$43),CombatantLevelAttributeMod)</f>
      </c>
      <c r="U68" s="1">
        <f>ATTACKDAMAGE(IF(ISEVEN(COLUMN()),$B68,$C68),U$43,INT(balancing!$B$41/balancing!$B$33*U$43),CombatantLevelAttributeMod)</f>
      </c>
      <c r="V68" s="1">
        <f>ATTACKDAMAGE(IF(ISEVEN(COLUMN()),$B68,$C68),V$43,INT(balancing!$B$41/balancing!$B$33*V$43),CombatantLevelAttributeMod)</f>
      </c>
      <c r="W68" s="1">
        <f>ATTACKDAMAGE(IF(ISEVEN(COLUMN()),$B68,$C68),W$43,INT(balancing!$B$41/balancing!$B$33*W$43),CombatantLevelAttributeMod)</f>
      </c>
    </row>
    <row r="69" spans="1:23" x14ac:dyDescent="0.25">
      <c r="A69" s="3">
        <f>'equipment-weapons'!A27</f>
      </c>
      <c r="B69" s="3">
        <f>'equipment-weapons'!F27</f>
      </c>
      <c r="C69" s="3">
        <f>'equipment-weapons'!G27</f>
      </c>
      <c r="D69" s="1">
        <f>ATTACKDAMAGE(IF(ISEVEN(COLUMN()),$B69,$C69),D$43,INT(balancing!$B$41/balancing!$B$33*D$43),CombatantLevelAttributeMod)</f>
      </c>
      <c r="E69" s="1">
        <f>ATTACKDAMAGE(IF(ISEVEN(COLUMN()),$B69,$C69),E$43,INT(balancing!$B$41/balancing!$B$33*E$43),CombatantLevelAttributeMod)</f>
      </c>
      <c r="F69" s="1">
        <f>ATTACKDAMAGE(IF(ISEVEN(COLUMN()),$B69,$C69),F$43,INT(balancing!$B$41/balancing!$B$33*F$43),CombatantLevelAttributeMod)</f>
      </c>
      <c r="G69" s="1">
        <f>ATTACKDAMAGE(IF(ISEVEN(COLUMN()),$B69,$C69),G$43,INT(balancing!$B$41/balancing!$B$33*G$43),CombatantLevelAttributeMod)</f>
      </c>
      <c r="H69" s="1">
        <f>ATTACKDAMAGE(IF(ISEVEN(COLUMN()),$B69,$C69),H$43,INT(balancing!$B$41/balancing!$B$33*H$43),CombatantLevelAttributeMod)</f>
      </c>
      <c r="I69" s="1">
        <f>ATTACKDAMAGE(IF(ISEVEN(COLUMN()),$B69,$C69),I$43,INT(balancing!$B$41/balancing!$B$33*I$43),CombatantLevelAttributeMod)</f>
      </c>
      <c r="J69" s="1">
        <f>ATTACKDAMAGE(IF(ISEVEN(COLUMN()),$B69,$C69),J$43,INT(balancing!$B$41/balancing!$B$33*J$43),CombatantLevelAttributeMod)</f>
      </c>
      <c r="K69" s="1">
        <f>ATTACKDAMAGE(IF(ISEVEN(COLUMN()),$B69,$C69),K$43,INT(balancing!$B$41/balancing!$B$33*K$43),CombatantLevelAttributeMod)</f>
      </c>
      <c r="L69" s="1">
        <f>ATTACKDAMAGE(IF(ISEVEN(COLUMN()),$B69,$C69),L$43,INT(balancing!$B$41/balancing!$B$33*L$43),CombatantLevelAttributeMod)</f>
      </c>
      <c r="M69" s="1">
        <f>ATTACKDAMAGE(IF(ISEVEN(COLUMN()),$B69,$C69),M$43,INT(balancing!$B$41/balancing!$B$33*M$43),CombatantLevelAttributeMod)</f>
      </c>
      <c r="N69" s="1">
        <f>ATTACKDAMAGE(IF(ISEVEN(COLUMN()),$B69,$C69),N$43,INT(balancing!$B$41/balancing!$B$33*N$43),CombatantLevelAttributeMod)</f>
      </c>
      <c r="O69" s="1">
        <f>ATTACKDAMAGE(IF(ISEVEN(COLUMN()),$B69,$C69),O$43,INT(balancing!$B$41/balancing!$B$33*O$43),CombatantLevelAttributeMod)</f>
      </c>
      <c r="P69" s="1">
        <f>ATTACKDAMAGE(IF(ISEVEN(COLUMN()),$B69,$C69),P$43,INT(balancing!$B$41/balancing!$B$33*P$43),CombatantLevelAttributeMod)</f>
      </c>
      <c r="Q69" s="1">
        <f>ATTACKDAMAGE(IF(ISEVEN(COLUMN()),$B69,$C69),Q$43,INT(balancing!$B$41/balancing!$B$33*Q$43),CombatantLevelAttributeMod)</f>
      </c>
      <c r="R69" s="1">
        <f>ATTACKDAMAGE(IF(ISEVEN(COLUMN()),$B69,$C69),R$43,INT(balancing!$B$41/balancing!$B$33*R$43),CombatantLevelAttributeMod)</f>
      </c>
      <c r="S69" s="1">
        <f>ATTACKDAMAGE(IF(ISEVEN(COLUMN()),$B69,$C69),S$43,INT(balancing!$B$41/balancing!$B$33*S$43),CombatantLevelAttributeMod)</f>
      </c>
      <c r="T69" s="1">
        <f>ATTACKDAMAGE(IF(ISEVEN(COLUMN()),$B69,$C69),T$43,INT(balancing!$B$41/balancing!$B$33*T$43),CombatantLevelAttributeMod)</f>
      </c>
      <c r="U69" s="1">
        <f>ATTACKDAMAGE(IF(ISEVEN(COLUMN()),$B69,$C69),U$43,INT(balancing!$B$41/balancing!$B$33*U$43),CombatantLevelAttributeMod)</f>
      </c>
      <c r="V69" s="1">
        <f>ATTACKDAMAGE(IF(ISEVEN(COLUMN()),$B69,$C69),V$43,INT(balancing!$B$41/balancing!$B$33*V$43),CombatantLevelAttributeMod)</f>
      </c>
      <c r="W69" s="1">
        <f>ATTACKDAMAGE(IF(ISEVEN(COLUMN()),$B69,$C69),W$43,INT(balancing!$B$41/balancing!$B$33*W$43),CombatantLevelAttributeMod)</f>
      </c>
    </row>
    <row r="70" spans="1:23" x14ac:dyDescent="0.25">
      <c r="A70" s="3">
        <f>'equipment-weapons'!A28</f>
      </c>
      <c r="B70" s="3">
        <f>'equipment-weapons'!F28</f>
      </c>
      <c r="C70" s="3">
        <f>'equipment-weapons'!G28</f>
      </c>
      <c r="D70" s="1">
        <f>ATTACKDAMAGE(IF(ISEVEN(COLUMN()),$B70,$C70),D$43,INT(balancing!$B$41/balancing!$B$33*D$43),CombatantLevelAttributeMod)</f>
      </c>
      <c r="E70" s="1">
        <f>ATTACKDAMAGE(IF(ISEVEN(COLUMN()),$B70,$C70),E$43,INT(balancing!$B$41/balancing!$B$33*E$43),CombatantLevelAttributeMod)</f>
      </c>
      <c r="F70" s="1">
        <f>ATTACKDAMAGE(IF(ISEVEN(COLUMN()),$B70,$C70),F$43,INT(balancing!$B$41/balancing!$B$33*F$43),CombatantLevelAttributeMod)</f>
      </c>
      <c r="G70" s="1">
        <f>ATTACKDAMAGE(IF(ISEVEN(COLUMN()),$B70,$C70),G$43,INT(balancing!$B$41/balancing!$B$33*G$43),CombatantLevelAttributeMod)</f>
      </c>
      <c r="H70" s="1">
        <f>ATTACKDAMAGE(IF(ISEVEN(COLUMN()),$B70,$C70),H$43,INT(balancing!$B$41/balancing!$B$33*H$43),CombatantLevelAttributeMod)</f>
      </c>
      <c r="I70" s="1">
        <f>ATTACKDAMAGE(IF(ISEVEN(COLUMN()),$B70,$C70),I$43,INT(balancing!$B$41/balancing!$B$33*I$43),CombatantLevelAttributeMod)</f>
      </c>
      <c r="J70" s="1">
        <f>ATTACKDAMAGE(IF(ISEVEN(COLUMN()),$B70,$C70),J$43,INT(balancing!$B$41/balancing!$B$33*J$43),CombatantLevelAttributeMod)</f>
      </c>
      <c r="K70" s="1">
        <f>ATTACKDAMAGE(IF(ISEVEN(COLUMN()),$B70,$C70),K$43,INT(balancing!$B$41/balancing!$B$33*K$43),CombatantLevelAttributeMod)</f>
      </c>
      <c r="L70" s="1">
        <f>ATTACKDAMAGE(IF(ISEVEN(COLUMN()),$B70,$C70),L$43,INT(balancing!$B$41/balancing!$B$33*L$43),CombatantLevelAttributeMod)</f>
      </c>
      <c r="M70" s="1">
        <f>ATTACKDAMAGE(IF(ISEVEN(COLUMN()),$B70,$C70),M$43,INT(balancing!$B$41/balancing!$B$33*M$43),CombatantLevelAttributeMod)</f>
      </c>
      <c r="N70" s="1">
        <f>ATTACKDAMAGE(IF(ISEVEN(COLUMN()),$B70,$C70),N$43,INT(balancing!$B$41/balancing!$B$33*N$43),CombatantLevelAttributeMod)</f>
      </c>
      <c r="O70" s="1">
        <f>ATTACKDAMAGE(IF(ISEVEN(COLUMN()),$B70,$C70),O$43,INT(balancing!$B$41/balancing!$B$33*O$43),CombatantLevelAttributeMod)</f>
      </c>
      <c r="P70" s="1">
        <f>ATTACKDAMAGE(IF(ISEVEN(COLUMN()),$B70,$C70),P$43,INT(balancing!$B$41/balancing!$B$33*P$43),CombatantLevelAttributeMod)</f>
      </c>
      <c r="Q70" s="1">
        <f>ATTACKDAMAGE(IF(ISEVEN(COLUMN()),$B70,$C70),Q$43,INT(balancing!$B$41/balancing!$B$33*Q$43),CombatantLevelAttributeMod)</f>
      </c>
      <c r="R70" s="1">
        <f>ATTACKDAMAGE(IF(ISEVEN(COLUMN()),$B70,$C70),R$43,INT(balancing!$B$41/balancing!$B$33*R$43),CombatantLevelAttributeMod)</f>
      </c>
      <c r="S70" s="1">
        <f>ATTACKDAMAGE(IF(ISEVEN(COLUMN()),$B70,$C70),S$43,INT(balancing!$B$41/balancing!$B$33*S$43),CombatantLevelAttributeMod)</f>
      </c>
      <c r="T70" s="1">
        <f>ATTACKDAMAGE(IF(ISEVEN(COLUMN()),$B70,$C70),T$43,INT(balancing!$B$41/balancing!$B$33*T$43),CombatantLevelAttributeMod)</f>
      </c>
      <c r="U70" s="1">
        <f>ATTACKDAMAGE(IF(ISEVEN(COLUMN()),$B70,$C70),U$43,INT(balancing!$B$41/balancing!$B$33*U$43),CombatantLevelAttributeMod)</f>
      </c>
      <c r="V70" s="1">
        <f>ATTACKDAMAGE(IF(ISEVEN(COLUMN()),$B70,$C70),V$43,INT(balancing!$B$41/balancing!$B$33*V$43),CombatantLevelAttributeMod)</f>
      </c>
      <c r="W70" s="1">
        <f>ATTACKDAMAGE(IF(ISEVEN(COLUMN()),$B70,$C70),W$43,INT(balancing!$B$41/balancing!$B$33*W$43),CombatantLevelAttributeMod)</f>
      </c>
    </row>
    <row r="71" spans="1:23" x14ac:dyDescent="0.25">
      <c r="A71" s="3">
        <f>'equipment-weapons'!A29</f>
      </c>
      <c r="B71" s="3">
        <f>'equipment-weapons'!F29</f>
      </c>
      <c r="C71" s="3">
        <f>'equipment-weapons'!G29</f>
      </c>
      <c r="D71" s="1">
        <f>ATTACKDAMAGE(IF(ISEVEN(COLUMN()),$B71,$C71),D$43,INT(balancing!$B$41/balancing!$B$33*D$43),CombatantLevelAttributeMod)</f>
      </c>
      <c r="E71" s="1">
        <f>ATTACKDAMAGE(IF(ISEVEN(COLUMN()),$B71,$C71),E$43,INT(balancing!$B$41/balancing!$B$33*E$43),CombatantLevelAttributeMod)</f>
      </c>
      <c r="F71" s="1">
        <f>ATTACKDAMAGE(IF(ISEVEN(COLUMN()),$B71,$C71),F$43,INT(balancing!$B$41/balancing!$B$33*F$43),CombatantLevelAttributeMod)</f>
      </c>
      <c r="G71" s="1">
        <f>ATTACKDAMAGE(IF(ISEVEN(COLUMN()),$B71,$C71),G$43,INT(balancing!$B$41/balancing!$B$33*G$43),CombatantLevelAttributeMod)</f>
      </c>
      <c r="H71" s="1">
        <f>ATTACKDAMAGE(IF(ISEVEN(COLUMN()),$B71,$C71),H$43,INT(balancing!$B$41/balancing!$B$33*H$43),CombatantLevelAttributeMod)</f>
      </c>
      <c r="I71" s="1">
        <f>ATTACKDAMAGE(IF(ISEVEN(COLUMN()),$B71,$C71),I$43,INT(balancing!$B$41/balancing!$B$33*I$43),CombatantLevelAttributeMod)</f>
      </c>
      <c r="J71" s="1">
        <f>ATTACKDAMAGE(IF(ISEVEN(COLUMN()),$B71,$C71),J$43,INT(balancing!$B$41/balancing!$B$33*J$43),CombatantLevelAttributeMod)</f>
      </c>
      <c r="K71" s="1">
        <f>ATTACKDAMAGE(IF(ISEVEN(COLUMN()),$B71,$C71),K$43,INT(balancing!$B$41/balancing!$B$33*K$43),CombatantLevelAttributeMod)</f>
      </c>
      <c r="L71" s="1">
        <f>ATTACKDAMAGE(IF(ISEVEN(COLUMN()),$B71,$C71),L$43,INT(balancing!$B$41/balancing!$B$33*L$43),CombatantLevelAttributeMod)</f>
      </c>
      <c r="M71" s="1">
        <f>ATTACKDAMAGE(IF(ISEVEN(COLUMN()),$B71,$C71),M$43,INT(balancing!$B$41/balancing!$B$33*M$43),CombatantLevelAttributeMod)</f>
      </c>
      <c r="N71" s="1">
        <f>ATTACKDAMAGE(IF(ISEVEN(COLUMN()),$B71,$C71),N$43,INT(balancing!$B$41/balancing!$B$33*N$43),CombatantLevelAttributeMod)</f>
      </c>
      <c r="O71" s="1">
        <f>ATTACKDAMAGE(IF(ISEVEN(COLUMN()),$B71,$C71),O$43,INT(balancing!$B$41/balancing!$B$33*O$43),CombatantLevelAttributeMod)</f>
      </c>
      <c r="P71" s="1">
        <f>ATTACKDAMAGE(IF(ISEVEN(COLUMN()),$B71,$C71),P$43,INT(balancing!$B$41/balancing!$B$33*P$43),CombatantLevelAttributeMod)</f>
      </c>
      <c r="Q71" s="1">
        <f>ATTACKDAMAGE(IF(ISEVEN(COLUMN()),$B71,$C71),Q$43,INT(balancing!$B$41/balancing!$B$33*Q$43),CombatantLevelAttributeMod)</f>
      </c>
      <c r="R71" s="1">
        <f>ATTACKDAMAGE(IF(ISEVEN(COLUMN()),$B71,$C71),R$43,INT(balancing!$B$41/balancing!$B$33*R$43),CombatantLevelAttributeMod)</f>
      </c>
      <c r="S71" s="1">
        <f>ATTACKDAMAGE(IF(ISEVEN(COLUMN()),$B71,$C71),S$43,INT(balancing!$B$41/balancing!$B$33*S$43),CombatantLevelAttributeMod)</f>
      </c>
      <c r="T71" s="1">
        <f>ATTACKDAMAGE(IF(ISEVEN(COLUMN()),$B71,$C71),T$43,INT(balancing!$B$41/balancing!$B$33*T$43),CombatantLevelAttributeMod)</f>
      </c>
      <c r="U71" s="1">
        <f>ATTACKDAMAGE(IF(ISEVEN(COLUMN()),$B71,$C71),U$43,INT(balancing!$B$41/balancing!$B$33*U$43),CombatantLevelAttributeMod)</f>
      </c>
      <c r="V71" s="1">
        <f>ATTACKDAMAGE(IF(ISEVEN(COLUMN()),$B71,$C71),V$43,INT(balancing!$B$41/balancing!$B$33*V$43),CombatantLevelAttributeMod)</f>
      </c>
      <c r="W71" s="1">
        <f>ATTACKDAMAGE(IF(ISEVEN(COLUMN()),$B71,$C71),W$43,INT(balancing!$B$41/balancing!$B$33*W$43),CombatantLevelAttributeMod)</f>
      </c>
    </row>
    <row r="72" spans="1:23" x14ac:dyDescent="0.25">
      <c r="A72" s="3">
        <f>'equipment-weapons'!A30</f>
      </c>
      <c r="B72" s="3">
        <f>'equipment-weapons'!F30</f>
      </c>
      <c r="C72" s="3">
        <f>'equipment-weapons'!G30</f>
      </c>
      <c r="D72" s="1">
        <f>ATTACKDAMAGE(IF(ISEVEN(COLUMN()),$B72,$C72),D$43,INT(balancing!$B$41/balancing!$B$33*D$43),CombatantLevelAttributeMod)</f>
      </c>
      <c r="E72" s="1">
        <f>ATTACKDAMAGE(IF(ISEVEN(COLUMN()),$B72,$C72),E$43,INT(balancing!$B$41/balancing!$B$33*E$43),CombatantLevelAttributeMod)</f>
      </c>
      <c r="F72" s="1">
        <f>ATTACKDAMAGE(IF(ISEVEN(COLUMN()),$B72,$C72),F$43,INT(balancing!$B$41/balancing!$B$33*F$43),CombatantLevelAttributeMod)</f>
      </c>
      <c r="G72" s="1">
        <f>ATTACKDAMAGE(IF(ISEVEN(COLUMN()),$B72,$C72),G$43,INT(balancing!$B$41/balancing!$B$33*G$43),CombatantLevelAttributeMod)</f>
      </c>
      <c r="H72" s="1">
        <f>ATTACKDAMAGE(IF(ISEVEN(COLUMN()),$B72,$C72),H$43,INT(balancing!$B$41/balancing!$B$33*H$43),CombatantLevelAttributeMod)</f>
      </c>
      <c r="I72" s="1">
        <f>ATTACKDAMAGE(IF(ISEVEN(COLUMN()),$B72,$C72),I$43,INT(balancing!$B$41/balancing!$B$33*I$43),CombatantLevelAttributeMod)</f>
      </c>
      <c r="J72" s="1">
        <f>ATTACKDAMAGE(IF(ISEVEN(COLUMN()),$B72,$C72),J$43,INT(balancing!$B$41/balancing!$B$33*J$43),CombatantLevelAttributeMod)</f>
      </c>
      <c r="K72" s="1">
        <f>ATTACKDAMAGE(IF(ISEVEN(COLUMN()),$B72,$C72),K$43,INT(balancing!$B$41/balancing!$B$33*K$43),CombatantLevelAttributeMod)</f>
      </c>
      <c r="L72" s="1">
        <f>ATTACKDAMAGE(IF(ISEVEN(COLUMN()),$B72,$C72),L$43,INT(balancing!$B$41/balancing!$B$33*L$43),CombatantLevelAttributeMod)</f>
      </c>
      <c r="M72" s="1">
        <f>ATTACKDAMAGE(IF(ISEVEN(COLUMN()),$B72,$C72),M$43,INT(balancing!$B$41/balancing!$B$33*M$43),CombatantLevelAttributeMod)</f>
      </c>
      <c r="N72" s="1">
        <f>ATTACKDAMAGE(IF(ISEVEN(COLUMN()),$B72,$C72),N$43,INT(balancing!$B$41/balancing!$B$33*N$43),CombatantLevelAttributeMod)</f>
      </c>
      <c r="O72" s="1">
        <f>ATTACKDAMAGE(IF(ISEVEN(COLUMN()),$B72,$C72),O$43,INT(balancing!$B$41/balancing!$B$33*O$43),CombatantLevelAttributeMod)</f>
      </c>
      <c r="P72" s="1">
        <f>ATTACKDAMAGE(IF(ISEVEN(COLUMN()),$B72,$C72),P$43,INT(balancing!$B$41/balancing!$B$33*P$43),CombatantLevelAttributeMod)</f>
      </c>
      <c r="Q72" s="1">
        <f>ATTACKDAMAGE(IF(ISEVEN(COLUMN()),$B72,$C72),Q$43,INT(balancing!$B$41/balancing!$B$33*Q$43),CombatantLevelAttributeMod)</f>
      </c>
      <c r="R72" s="1">
        <f>ATTACKDAMAGE(IF(ISEVEN(COLUMN()),$B72,$C72),R$43,INT(balancing!$B$41/balancing!$B$33*R$43),CombatantLevelAttributeMod)</f>
      </c>
      <c r="S72" s="1">
        <f>ATTACKDAMAGE(IF(ISEVEN(COLUMN()),$B72,$C72),S$43,INT(balancing!$B$41/balancing!$B$33*S$43),CombatantLevelAttributeMod)</f>
      </c>
      <c r="T72" s="1">
        <f>ATTACKDAMAGE(IF(ISEVEN(COLUMN()),$B72,$C72),T$43,INT(balancing!$B$41/balancing!$B$33*T$43),CombatantLevelAttributeMod)</f>
      </c>
      <c r="U72" s="1">
        <f>ATTACKDAMAGE(IF(ISEVEN(COLUMN()),$B72,$C72),U$43,INT(balancing!$B$41/balancing!$B$33*U$43),CombatantLevelAttributeMod)</f>
      </c>
      <c r="V72" s="1">
        <f>ATTACKDAMAGE(IF(ISEVEN(COLUMN()),$B72,$C72),V$43,INT(balancing!$B$41/balancing!$B$33*V$43),CombatantLevelAttributeMod)</f>
      </c>
      <c r="W72" s="1">
        <f>ATTACKDAMAGE(IF(ISEVEN(COLUMN()),$B72,$C72),W$43,INT(balancing!$B$41/balancing!$B$33*W$43),CombatantLevelAttributeMod)</f>
      </c>
    </row>
    <row r="73" spans="1:23" x14ac:dyDescent="0.25">
      <c r="A73" s="3">
        <f>'equipment-weapons'!A31</f>
      </c>
      <c r="B73" s="3">
        <f>'equipment-weapons'!F31</f>
      </c>
      <c r="C73" s="3">
        <f>'equipment-weapons'!G31</f>
      </c>
      <c r="D73" s="1">
        <f>ATTACKDAMAGE(IF(ISEVEN(COLUMN()),$B73,$C73),D$43,INT(balancing!$B$41/balancing!$B$33*D$43),CombatantLevelAttributeMod)</f>
      </c>
      <c r="E73" s="1">
        <f>ATTACKDAMAGE(IF(ISEVEN(COLUMN()),$B73,$C73),E$43,INT(balancing!$B$41/balancing!$B$33*E$43),CombatantLevelAttributeMod)</f>
      </c>
      <c r="F73" s="1">
        <f>ATTACKDAMAGE(IF(ISEVEN(COLUMN()),$B73,$C73),F$43,INT(balancing!$B$41/balancing!$B$33*F$43),CombatantLevelAttributeMod)</f>
      </c>
      <c r="G73" s="1">
        <f>ATTACKDAMAGE(IF(ISEVEN(COLUMN()),$B73,$C73),G$43,INT(balancing!$B$41/balancing!$B$33*G$43),CombatantLevelAttributeMod)</f>
      </c>
      <c r="H73" s="1">
        <f>ATTACKDAMAGE(IF(ISEVEN(COLUMN()),$B73,$C73),H$43,INT(balancing!$B$41/balancing!$B$33*H$43),CombatantLevelAttributeMod)</f>
      </c>
      <c r="I73" s="1">
        <f>ATTACKDAMAGE(IF(ISEVEN(COLUMN()),$B73,$C73),I$43,INT(balancing!$B$41/balancing!$B$33*I$43),CombatantLevelAttributeMod)</f>
      </c>
      <c r="J73" s="1">
        <f>ATTACKDAMAGE(IF(ISEVEN(COLUMN()),$B73,$C73),J$43,INT(balancing!$B$41/balancing!$B$33*J$43),CombatantLevelAttributeMod)</f>
      </c>
      <c r="K73" s="1">
        <f>ATTACKDAMAGE(IF(ISEVEN(COLUMN()),$B73,$C73),K$43,INT(balancing!$B$41/balancing!$B$33*K$43),CombatantLevelAttributeMod)</f>
      </c>
      <c r="L73" s="1">
        <f>ATTACKDAMAGE(IF(ISEVEN(COLUMN()),$B73,$C73),L$43,INT(balancing!$B$41/balancing!$B$33*L$43),CombatantLevelAttributeMod)</f>
      </c>
      <c r="M73" s="1">
        <f>ATTACKDAMAGE(IF(ISEVEN(COLUMN()),$B73,$C73),M$43,INT(balancing!$B$41/balancing!$B$33*M$43),CombatantLevelAttributeMod)</f>
      </c>
      <c r="N73" s="1">
        <f>ATTACKDAMAGE(IF(ISEVEN(COLUMN()),$B73,$C73),N$43,INT(balancing!$B$41/balancing!$B$33*N$43),CombatantLevelAttributeMod)</f>
      </c>
      <c r="O73" s="1">
        <f>ATTACKDAMAGE(IF(ISEVEN(COLUMN()),$B73,$C73),O$43,INT(balancing!$B$41/balancing!$B$33*O$43),CombatantLevelAttributeMod)</f>
      </c>
      <c r="P73" s="1">
        <f>ATTACKDAMAGE(IF(ISEVEN(COLUMN()),$B73,$C73),P$43,INT(balancing!$B$41/balancing!$B$33*P$43),CombatantLevelAttributeMod)</f>
      </c>
      <c r="Q73" s="1">
        <f>ATTACKDAMAGE(IF(ISEVEN(COLUMN()),$B73,$C73),Q$43,INT(balancing!$B$41/balancing!$B$33*Q$43),CombatantLevelAttributeMod)</f>
      </c>
      <c r="R73" s="1">
        <f>ATTACKDAMAGE(IF(ISEVEN(COLUMN()),$B73,$C73),R$43,INT(balancing!$B$41/balancing!$B$33*R$43),CombatantLevelAttributeMod)</f>
      </c>
      <c r="S73" s="1">
        <f>ATTACKDAMAGE(IF(ISEVEN(COLUMN()),$B73,$C73),S$43,INT(balancing!$B$41/balancing!$B$33*S$43),CombatantLevelAttributeMod)</f>
      </c>
      <c r="T73" s="1">
        <f>ATTACKDAMAGE(IF(ISEVEN(COLUMN()),$B73,$C73),T$43,INT(balancing!$B$41/balancing!$B$33*T$43),CombatantLevelAttributeMod)</f>
      </c>
      <c r="U73" s="1">
        <f>ATTACKDAMAGE(IF(ISEVEN(COLUMN()),$B73,$C73),U$43,INT(balancing!$B$41/balancing!$B$33*U$43),CombatantLevelAttributeMod)</f>
      </c>
      <c r="V73" s="1">
        <f>ATTACKDAMAGE(IF(ISEVEN(COLUMN()),$B73,$C73),V$43,INT(balancing!$B$41/balancing!$B$33*V$43),CombatantLevelAttributeMod)</f>
      </c>
      <c r="W73" s="1">
        <f>ATTACKDAMAGE(IF(ISEVEN(COLUMN()),$B73,$C73),W$43,INT(balancing!$B$41/balancing!$B$33*W$43),CombatantLevelAttributeMod)</f>
      </c>
    </row>
    <row r="74" spans="1:23" x14ac:dyDescent="0.25">
      <c r="A74" s="3">
        <f>'equipment-weapons'!A32</f>
      </c>
      <c r="B74" s="3">
        <f>'equipment-weapons'!F32</f>
      </c>
      <c r="C74" s="3">
        <f>'equipment-weapons'!G32</f>
      </c>
      <c r="D74" s="1">
        <f>ATTACKDAMAGE(IF(ISEVEN(COLUMN()),$B74,$C74),D$43,INT(balancing!$B$41/balancing!$B$33*D$43),CombatantLevelAttributeMod)</f>
      </c>
      <c r="E74" s="1">
        <f>ATTACKDAMAGE(IF(ISEVEN(COLUMN()),$B74,$C74),E$43,INT(balancing!$B$41/balancing!$B$33*E$43),CombatantLevelAttributeMod)</f>
      </c>
      <c r="F74" s="1">
        <f>ATTACKDAMAGE(IF(ISEVEN(COLUMN()),$B74,$C74),F$43,INT(balancing!$B$41/balancing!$B$33*F$43),CombatantLevelAttributeMod)</f>
      </c>
      <c r="G74" s="1">
        <f>ATTACKDAMAGE(IF(ISEVEN(COLUMN()),$B74,$C74),G$43,INT(balancing!$B$41/balancing!$B$33*G$43),CombatantLevelAttributeMod)</f>
      </c>
      <c r="H74" s="1">
        <f>ATTACKDAMAGE(IF(ISEVEN(COLUMN()),$B74,$C74),H$43,INT(balancing!$B$41/balancing!$B$33*H$43),CombatantLevelAttributeMod)</f>
      </c>
      <c r="I74" s="1">
        <f>ATTACKDAMAGE(IF(ISEVEN(COLUMN()),$B74,$C74),I$43,INT(balancing!$B$41/balancing!$B$33*I$43),CombatantLevelAttributeMod)</f>
      </c>
      <c r="J74" s="1">
        <f>ATTACKDAMAGE(IF(ISEVEN(COLUMN()),$B74,$C74),J$43,INT(balancing!$B$41/balancing!$B$33*J$43),CombatantLevelAttributeMod)</f>
      </c>
      <c r="K74" s="1">
        <f>ATTACKDAMAGE(IF(ISEVEN(COLUMN()),$B74,$C74),K$43,INT(balancing!$B$41/balancing!$B$33*K$43),CombatantLevelAttributeMod)</f>
      </c>
      <c r="L74" s="1">
        <f>ATTACKDAMAGE(IF(ISEVEN(COLUMN()),$B74,$C74),L$43,INT(balancing!$B$41/balancing!$B$33*L$43),CombatantLevelAttributeMod)</f>
      </c>
      <c r="M74" s="1">
        <f>ATTACKDAMAGE(IF(ISEVEN(COLUMN()),$B74,$C74),M$43,INT(balancing!$B$41/balancing!$B$33*M$43),CombatantLevelAttributeMod)</f>
      </c>
      <c r="N74" s="1">
        <f>ATTACKDAMAGE(IF(ISEVEN(COLUMN()),$B74,$C74),N$43,INT(balancing!$B$41/balancing!$B$33*N$43),CombatantLevelAttributeMod)</f>
      </c>
      <c r="O74" s="1">
        <f>ATTACKDAMAGE(IF(ISEVEN(COLUMN()),$B74,$C74),O$43,INT(balancing!$B$41/balancing!$B$33*O$43),CombatantLevelAttributeMod)</f>
      </c>
      <c r="P74" s="1">
        <f>ATTACKDAMAGE(IF(ISEVEN(COLUMN()),$B74,$C74),P$43,INT(balancing!$B$41/balancing!$B$33*P$43),CombatantLevelAttributeMod)</f>
      </c>
      <c r="Q74" s="1">
        <f>ATTACKDAMAGE(IF(ISEVEN(COLUMN()),$B74,$C74),Q$43,INT(balancing!$B$41/balancing!$B$33*Q$43),CombatantLevelAttributeMod)</f>
      </c>
      <c r="R74" s="1">
        <f>ATTACKDAMAGE(IF(ISEVEN(COLUMN()),$B74,$C74),R$43,INT(balancing!$B$41/balancing!$B$33*R$43),CombatantLevelAttributeMod)</f>
      </c>
      <c r="S74" s="1">
        <f>ATTACKDAMAGE(IF(ISEVEN(COLUMN()),$B74,$C74),S$43,INT(balancing!$B$41/balancing!$B$33*S$43),CombatantLevelAttributeMod)</f>
      </c>
      <c r="T74" s="1">
        <f>ATTACKDAMAGE(IF(ISEVEN(COLUMN()),$B74,$C74),T$43,INT(balancing!$B$41/balancing!$B$33*T$43),CombatantLevelAttributeMod)</f>
      </c>
      <c r="U74" s="1">
        <f>ATTACKDAMAGE(IF(ISEVEN(COLUMN()),$B74,$C74),U$43,INT(balancing!$B$41/balancing!$B$33*U$43),CombatantLevelAttributeMod)</f>
      </c>
      <c r="V74" s="1">
        <f>ATTACKDAMAGE(IF(ISEVEN(COLUMN()),$B74,$C74),V$43,INT(balancing!$B$41/balancing!$B$33*V$43),CombatantLevelAttributeMod)</f>
      </c>
      <c r="W74" s="1">
        <f>ATTACKDAMAGE(IF(ISEVEN(COLUMN()),$B74,$C74),W$43,INT(balancing!$B$41/balancing!$B$33*W$43),CombatantLevelAttributeMod)</f>
      </c>
    </row>
    <row r="75" spans="1:23" x14ac:dyDescent="0.25">
      <c r="A75" s="3">
        <f>'equipment-weapons'!A33</f>
      </c>
      <c r="B75" s="3">
        <f>'equipment-weapons'!F33</f>
      </c>
      <c r="C75" s="3">
        <f>'equipment-weapons'!G33</f>
      </c>
      <c r="D75" s="1">
        <f>ATTACKDAMAGE(IF(ISEVEN(COLUMN()),$B75,$C75),D$43,INT(balancing!$B$41/balancing!$B$33*D$43),CombatantLevelAttributeMod)</f>
      </c>
      <c r="E75" s="1">
        <f>ATTACKDAMAGE(IF(ISEVEN(COLUMN()),$B75,$C75),E$43,INT(balancing!$B$41/balancing!$B$33*E$43),CombatantLevelAttributeMod)</f>
      </c>
      <c r="F75" s="1">
        <f>ATTACKDAMAGE(IF(ISEVEN(COLUMN()),$B75,$C75),F$43,INT(balancing!$B$41/balancing!$B$33*F$43),CombatantLevelAttributeMod)</f>
      </c>
      <c r="G75" s="1">
        <f>ATTACKDAMAGE(IF(ISEVEN(COLUMN()),$B75,$C75),G$43,INT(balancing!$B$41/balancing!$B$33*G$43),CombatantLevelAttributeMod)</f>
      </c>
      <c r="H75" s="1">
        <f>ATTACKDAMAGE(IF(ISEVEN(COLUMN()),$B75,$C75),H$43,INT(balancing!$B$41/balancing!$B$33*H$43),CombatantLevelAttributeMod)</f>
      </c>
      <c r="I75" s="1">
        <f>ATTACKDAMAGE(IF(ISEVEN(COLUMN()),$B75,$C75),I$43,INT(balancing!$B$41/balancing!$B$33*I$43),CombatantLevelAttributeMod)</f>
      </c>
      <c r="J75" s="1">
        <f>ATTACKDAMAGE(IF(ISEVEN(COLUMN()),$B75,$C75),J$43,INT(balancing!$B$41/balancing!$B$33*J$43),CombatantLevelAttributeMod)</f>
      </c>
      <c r="K75" s="1">
        <f>ATTACKDAMAGE(IF(ISEVEN(COLUMN()),$B75,$C75),K$43,INT(balancing!$B$41/balancing!$B$33*K$43),CombatantLevelAttributeMod)</f>
      </c>
      <c r="L75" s="1">
        <f>ATTACKDAMAGE(IF(ISEVEN(COLUMN()),$B75,$C75),L$43,INT(balancing!$B$41/balancing!$B$33*L$43),CombatantLevelAttributeMod)</f>
      </c>
      <c r="M75" s="1">
        <f>ATTACKDAMAGE(IF(ISEVEN(COLUMN()),$B75,$C75),M$43,INT(balancing!$B$41/balancing!$B$33*M$43),CombatantLevelAttributeMod)</f>
      </c>
      <c r="N75" s="1">
        <f>ATTACKDAMAGE(IF(ISEVEN(COLUMN()),$B75,$C75),N$43,INT(balancing!$B$41/balancing!$B$33*N$43),CombatantLevelAttributeMod)</f>
      </c>
      <c r="O75" s="1">
        <f>ATTACKDAMAGE(IF(ISEVEN(COLUMN()),$B75,$C75),O$43,INT(balancing!$B$41/balancing!$B$33*O$43),CombatantLevelAttributeMod)</f>
      </c>
      <c r="P75" s="1">
        <f>ATTACKDAMAGE(IF(ISEVEN(COLUMN()),$B75,$C75),P$43,INT(balancing!$B$41/balancing!$B$33*P$43),CombatantLevelAttributeMod)</f>
      </c>
      <c r="Q75" s="1">
        <f>ATTACKDAMAGE(IF(ISEVEN(COLUMN()),$B75,$C75),Q$43,INT(balancing!$B$41/balancing!$B$33*Q$43),CombatantLevelAttributeMod)</f>
      </c>
      <c r="R75" s="1">
        <f>ATTACKDAMAGE(IF(ISEVEN(COLUMN()),$B75,$C75),R$43,INT(balancing!$B$41/balancing!$B$33*R$43),CombatantLevelAttributeMod)</f>
      </c>
      <c r="S75" s="1">
        <f>ATTACKDAMAGE(IF(ISEVEN(COLUMN()),$B75,$C75),S$43,INT(balancing!$B$41/balancing!$B$33*S$43),CombatantLevelAttributeMod)</f>
      </c>
      <c r="T75" s="1">
        <f>ATTACKDAMAGE(IF(ISEVEN(COLUMN()),$B75,$C75),T$43,INT(balancing!$B$41/balancing!$B$33*T$43),CombatantLevelAttributeMod)</f>
      </c>
      <c r="U75" s="1">
        <f>ATTACKDAMAGE(IF(ISEVEN(COLUMN()),$B75,$C75),U$43,INT(balancing!$B$41/balancing!$B$33*U$43),CombatantLevelAttributeMod)</f>
      </c>
      <c r="V75" s="1">
        <f>ATTACKDAMAGE(IF(ISEVEN(COLUMN()),$B75,$C75),V$43,INT(balancing!$B$41/balancing!$B$33*V$43),CombatantLevelAttributeMod)</f>
      </c>
      <c r="W75" s="1">
        <f>ATTACKDAMAGE(IF(ISEVEN(COLUMN()),$B75,$C75),W$43,INT(balancing!$B$41/balancing!$B$33*W$43),CombatantLevelAttributeMod)</f>
      </c>
    </row>
    <row r="76" spans="1:23" x14ac:dyDescent="0.25">
      <c r="A76" s="3">
        <f>'equipment-weapons'!A34</f>
      </c>
      <c r="B76" s="3">
        <f>'equipment-weapons'!F34</f>
      </c>
      <c r="C76" s="3">
        <f>'equipment-weapons'!G34</f>
      </c>
      <c r="D76" s="1">
        <f>ATTACKDAMAGE(IF(ISEVEN(COLUMN()),$B76,$C76),D$43,INT(balancing!$B$41/balancing!$B$33*D$43),CombatantLevelAttributeMod)</f>
      </c>
      <c r="E76" s="1">
        <f>ATTACKDAMAGE(IF(ISEVEN(COLUMN()),$B76,$C76),E$43,INT(balancing!$B$41/balancing!$B$33*E$43),CombatantLevelAttributeMod)</f>
      </c>
      <c r="F76" s="1">
        <f>ATTACKDAMAGE(IF(ISEVEN(COLUMN()),$B76,$C76),F$43,INT(balancing!$B$41/balancing!$B$33*F$43),CombatantLevelAttributeMod)</f>
      </c>
      <c r="G76" s="1">
        <f>ATTACKDAMAGE(IF(ISEVEN(COLUMN()),$B76,$C76),G$43,INT(balancing!$B$41/balancing!$B$33*G$43),CombatantLevelAttributeMod)</f>
      </c>
      <c r="H76" s="1">
        <f>ATTACKDAMAGE(IF(ISEVEN(COLUMN()),$B76,$C76),H$43,INT(balancing!$B$41/balancing!$B$33*H$43),CombatantLevelAttributeMod)</f>
      </c>
      <c r="I76" s="1">
        <f>ATTACKDAMAGE(IF(ISEVEN(COLUMN()),$B76,$C76),I$43,INT(balancing!$B$41/balancing!$B$33*I$43),CombatantLevelAttributeMod)</f>
      </c>
      <c r="J76" s="1">
        <f>ATTACKDAMAGE(IF(ISEVEN(COLUMN()),$B76,$C76),J$43,INT(balancing!$B$41/balancing!$B$33*J$43),CombatantLevelAttributeMod)</f>
      </c>
      <c r="K76" s="1">
        <f>ATTACKDAMAGE(IF(ISEVEN(COLUMN()),$B76,$C76),K$43,INT(balancing!$B$41/balancing!$B$33*K$43),CombatantLevelAttributeMod)</f>
      </c>
      <c r="L76" s="1">
        <f>ATTACKDAMAGE(IF(ISEVEN(COLUMN()),$B76,$C76),L$43,INT(balancing!$B$41/balancing!$B$33*L$43),CombatantLevelAttributeMod)</f>
      </c>
      <c r="M76" s="1">
        <f>ATTACKDAMAGE(IF(ISEVEN(COLUMN()),$B76,$C76),M$43,INT(balancing!$B$41/balancing!$B$33*M$43),CombatantLevelAttributeMod)</f>
      </c>
      <c r="N76" s="1">
        <f>ATTACKDAMAGE(IF(ISEVEN(COLUMN()),$B76,$C76),N$43,INT(balancing!$B$41/balancing!$B$33*N$43),CombatantLevelAttributeMod)</f>
      </c>
      <c r="O76" s="1">
        <f>ATTACKDAMAGE(IF(ISEVEN(COLUMN()),$B76,$C76),O$43,INT(balancing!$B$41/balancing!$B$33*O$43),CombatantLevelAttributeMod)</f>
      </c>
      <c r="P76" s="1">
        <f>ATTACKDAMAGE(IF(ISEVEN(COLUMN()),$B76,$C76),P$43,INT(balancing!$B$41/balancing!$B$33*P$43),CombatantLevelAttributeMod)</f>
      </c>
      <c r="Q76" s="1">
        <f>ATTACKDAMAGE(IF(ISEVEN(COLUMN()),$B76,$C76),Q$43,INT(balancing!$B$41/balancing!$B$33*Q$43),CombatantLevelAttributeMod)</f>
      </c>
      <c r="R76" s="1">
        <f>ATTACKDAMAGE(IF(ISEVEN(COLUMN()),$B76,$C76),R$43,INT(balancing!$B$41/balancing!$B$33*R$43),CombatantLevelAttributeMod)</f>
      </c>
      <c r="S76" s="1">
        <f>ATTACKDAMAGE(IF(ISEVEN(COLUMN()),$B76,$C76),S$43,INT(balancing!$B$41/balancing!$B$33*S$43),CombatantLevelAttributeMod)</f>
      </c>
      <c r="T76" s="1">
        <f>ATTACKDAMAGE(IF(ISEVEN(COLUMN()),$B76,$C76),T$43,INT(balancing!$B$41/balancing!$B$33*T$43),CombatantLevelAttributeMod)</f>
      </c>
      <c r="U76" s="1">
        <f>ATTACKDAMAGE(IF(ISEVEN(COLUMN()),$B76,$C76),U$43,INT(balancing!$B$41/balancing!$B$33*U$43),CombatantLevelAttributeMod)</f>
      </c>
      <c r="V76" s="1">
        <f>ATTACKDAMAGE(IF(ISEVEN(COLUMN()),$B76,$C76),V$43,INT(balancing!$B$41/balancing!$B$33*V$43),CombatantLevelAttributeMod)</f>
      </c>
      <c r="W76" s="1">
        <f>ATTACKDAMAGE(IF(ISEVEN(COLUMN()),$B76,$C76),W$43,INT(balancing!$B$41/balancing!$B$33*W$43),CombatantLevelAttributeMod)</f>
      </c>
    </row>
    <row r="77" spans="1:23" x14ac:dyDescent="0.25">
      <c r="A77" s="3">
        <f>'equipment-weapons'!A35</f>
      </c>
      <c r="B77" s="3">
        <f>'equipment-weapons'!F35</f>
      </c>
      <c r="C77" s="3">
        <f>'equipment-weapons'!G35</f>
      </c>
      <c r="D77" s="1">
        <f>ATTACKDAMAGE(IF(ISEVEN(COLUMN()),$B77,$C77),D$43,INT(balancing!$B$41/balancing!$B$33*D$43),CombatantLevelAttributeMod)</f>
      </c>
      <c r="E77" s="1">
        <f>ATTACKDAMAGE(IF(ISEVEN(COLUMN()),$B77,$C77),E$43,INT(balancing!$B$41/balancing!$B$33*E$43),CombatantLevelAttributeMod)</f>
      </c>
      <c r="F77" s="1">
        <f>ATTACKDAMAGE(IF(ISEVEN(COLUMN()),$B77,$C77),F$43,INT(balancing!$B$41/balancing!$B$33*F$43),CombatantLevelAttributeMod)</f>
      </c>
      <c r="G77" s="1">
        <f>ATTACKDAMAGE(IF(ISEVEN(COLUMN()),$B77,$C77),G$43,INT(balancing!$B$41/balancing!$B$33*G$43),CombatantLevelAttributeMod)</f>
      </c>
      <c r="H77" s="1">
        <f>ATTACKDAMAGE(IF(ISEVEN(COLUMN()),$B77,$C77),H$43,INT(balancing!$B$41/balancing!$B$33*H$43),CombatantLevelAttributeMod)</f>
      </c>
      <c r="I77" s="1">
        <f>ATTACKDAMAGE(IF(ISEVEN(COLUMN()),$B77,$C77),I$43,INT(balancing!$B$41/balancing!$B$33*I$43),CombatantLevelAttributeMod)</f>
      </c>
      <c r="J77" s="1">
        <f>ATTACKDAMAGE(IF(ISEVEN(COLUMN()),$B77,$C77),J$43,INT(balancing!$B$41/balancing!$B$33*J$43),CombatantLevelAttributeMod)</f>
      </c>
      <c r="K77" s="1">
        <f>ATTACKDAMAGE(IF(ISEVEN(COLUMN()),$B77,$C77),K$43,INT(balancing!$B$41/balancing!$B$33*K$43),CombatantLevelAttributeMod)</f>
      </c>
      <c r="L77" s="1">
        <f>ATTACKDAMAGE(IF(ISEVEN(COLUMN()),$B77,$C77),L$43,INT(balancing!$B$41/balancing!$B$33*L$43),CombatantLevelAttributeMod)</f>
      </c>
      <c r="M77" s="1">
        <f>ATTACKDAMAGE(IF(ISEVEN(COLUMN()),$B77,$C77),M$43,INT(balancing!$B$41/balancing!$B$33*M$43),CombatantLevelAttributeMod)</f>
      </c>
      <c r="N77" s="1">
        <f>ATTACKDAMAGE(IF(ISEVEN(COLUMN()),$B77,$C77),N$43,INT(balancing!$B$41/balancing!$B$33*N$43),CombatantLevelAttributeMod)</f>
      </c>
      <c r="O77" s="1">
        <f>ATTACKDAMAGE(IF(ISEVEN(COLUMN()),$B77,$C77),O$43,INT(balancing!$B$41/balancing!$B$33*O$43),CombatantLevelAttributeMod)</f>
      </c>
      <c r="P77" s="1">
        <f>ATTACKDAMAGE(IF(ISEVEN(COLUMN()),$B77,$C77),P$43,INT(balancing!$B$41/balancing!$B$33*P$43),CombatantLevelAttributeMod)</f>
      </c>
      <c r="Q77" s="1">
        <f>ATTACKDAMAGE(IF(ISEVEN(COLUMN()),$B77,$C77),Q$43,INT(balancing!$B$41/balancing!$B$33*Q$43),CombatantLevelAttributeMod)</f>
      </c>
      <c r="R77" s="1">
        <f>ATTACKDAMAGE(IF(ISEVEN(COLUMN()),$B77,$C77),R$43,INT(balancing!$B$41/balancing!$B$33*R$43),CombatantLevelAttributeMod)</f>
      </c>
      <c r="S77" s="1">
        <f>ATTACKDAMAGE(IF(ISEVEN(COLUMN()),$B77,$C77),S$43,INT(balancing!$B$41/balancing!$B$33*S$43),CombatantLevelAttributeMod)</f>
      </c>
      <c r="T77" s="1">
        <f>ATTACKDAMAGE(IF(ISEVEN(COLUMN()),$B77,$C77),T$43,INT(balancing!$B$41/balancing!$B$33*T$43),CombatantLevelAttributeMod)</f>
      </c>
      <c r="U77" s="1">
        <f>ATTACKDAMAGE(IF(ISEVEN(COLUMN()),$B77,$C77),U$43,INT(balancing!$B$41/balancing!$B$33*U$43),CombatantLevelAttributeMod)</f>
      </c>
      <c r="V77" s="1">
        <f>ATTACKDAMAGE(IF(ISEVEN(COLUMN()),$B77,$C77),V$43,INT(balancing!$B$41/balancing!$B$33*V$43),CombatantLevelAttributeMod)</f>
      </c>
      <c r="W77" s="1">
        <f>ATTACKDAMAGE(IF(ISEVEN(COLUMN()),$B77,$C77),W$43,INT(balancing!$B$41/balancing!$B$33*W$43),CombatantLevelAttributeMod)</f>
      </c>
    </row>
    <row r="78" spans="1:23" x14ac:dyDescent="0.25">
      <c r="A78" s="3">
        <f>'equipment-weapons'!A36</f>
      </c>
      <c r="B78" s="3">
        <f>'equipment-weapons'!F36</f>
      </c>
      <c r="C78" s="3">
        <f>'equipment-weapons'!G36</f>
      </c>
      <c r="D78" s="1">
        <f>ATTACKDAMAGE(IF(ISEVEN(COLUMN()),$B78,$C78),D$43,INT(balancing!$B$41/balancing!$B$33*D$43),CombatantLevelAttributeMod)</f>
      </c>
      <c r="E78" s="1">
        <f>ATTACKDAMAGE(IF(ISEVEN(COLUMN()),$B78,$C78),E$43,INT(balancing!$B$41/balancing!$B$33*E$43),CombatantLevelAttributeMod)</f>
      </c>
      <c r="F78" s="1">
        <f>ATTACKDAMAGE(IF(ISEVEN(COLUMN()),$B78,$C78),F$43,INT(balancing!$B$41/balancing!$B$33*F$43),CombatantLevelAttributeMod)</f>
      </c>
      <c r="G78" s="1">
        <f>ATTACKDAMAGE(IF(ISEVEN(COLUMN()),$B78,$C78),G$43,INT(balancing!$B$41/balancing!$B$33*G$43),CombatantLevelAttributeMod)</f>
      </c>
      <c r="H78" s="1">
        <f>ATTACKDAMAGE(IF(ISEVEN(COLUMN()),$B78,$C78),H$43,INT(balancing!$B$41/balancing!$B$33*H$43),CombatantLevelAttributeMod)</f>
      </c>
      <c r="I78" s="1">
        <f>ATTACKDAMAGE(IF(ISEVEN(COLUMN()),$B78,$C78),I$43,INT(balancing!$B$41/balancing!$B$33*I$43),CombatantLevelAttributeMod)</f>
      </c>
      <c r="J78" s="1">
        <f>ATTACKDAMAGE(IF(ISEVEN(COLUMN()),$B78,$C78),J$43,INT(balancing!$B$41/balancing!$B$33*J$43),CombatantLevelAttributeMod)</f>
      </c>
      <c r="K78" s="1">
        <f>ATTACKDAMAGE(IF(ISEVEN(COLUMN()),$B78,$C78),K$43,INT(balancing!$B$41/balancing!$B$33*K$43),CombatantLevelAttributeMod)</f>
      </c>
      <c r="L78" s="1">
        <f>ATTACKDAMAGE(IF(ISEVEN(COLUMN()),$B78,$C78),L$43,INT(balancing!$B$41/balancing!$B$33*L$43),CombatantLevelAttributeMod)</f>
      </c>
      <c r="M78" s="1">
        <f>ATTACKDAMAGE(IF(ISEVEN(COLUMN()),$B78,$C78),M$43,INT(balancing!$B$41/balancing!$B$33*M$43),CombatantLevelAttributeMod)</f>
      </c>
      <c r="N78" s="1">
        <f>ATTACKDAMAGE(IF(ISEVEN(COLUMN()),$B78,$C78),N$43,INT(balancing!$B$41/balancing!$B$33*N$43),CombatantLevelAttributeMod)</f>
      </c>
      <c r="O78" s="1">
        <f>ATTACKDAMAGE(IF(ISEVEN(COLUMN()),$B78,$C78),O$43,INT(balancing!$B$41/balancing!$B$33*O$43),CombatantLevelAttributeMod)</f>
      </c>
      <c r="P78" s="1">
        <f>ATTACKDAMAGE(IF(ISEVEN(COLUMN()),$B78,$C78),P$43,INT(balancing!$B$41/balancing!$B$33*P$43),CombatantLevelAttributeMod)</f>
      </c>
      <c r="Q78" s="1">
        <f>ATTACKDAMAGE(IF(ISEVEN(COLUMN()),$B78,$C78),Q$43,INT(balancing!$B$41/balancing!$B$33*Q$43),CombatantLevelAttributeMod)</f>
      </c>
      <c r="R78" s="1">
        <f>ATTACKDAMAGE(IF(ISEVEN(COLUMN()),$B78,$C78),R$43,INT(balancing!$B$41/balancing!$B$33*R$43),CombatantLevelAttributeMod)</f>
      </c>
      <c r="S78" s="1">
        <f>ATTACKDAMAGE(IF(ISEVEN(COLUMN()),$B78,$C78),S$43,INT(balancing!$B$41/balancing!$B$33*S$43),CombatantLevelAttributeMod)</f>
      </c>
      <c r="T78" s="1">
        <f>ATTACKDAMAGE(IF(ISEVEN(COLUMN()),$B78,$C78),T$43,INT(balancing!$B$41/balancing!$B$33*T$43),CombatantLevelAttributeMod)</f>
      </c>
      <c r="U78" s="1">
        <f>ATTACKDAMAGE(IF(ISEVEN(COLUMN()),$B78,$C78),U$43,INT(balancing!$B$41/balancing!$B$33*U$43),CombatantLevelAttributeMod)</f>
      </c>
      <c r="V78" s="1">
        <f>ATTACKDAMAGE(IF(ISEVEN(COLUMN()),$B78,$C78),V$43,INT(balancing!$B$41/balancing!$B$33*V$43),CombatantLevelAttributeMod)</f>
      </c>
      <c r="W78" s="1">
        <f>ATTACKDAMAGE(IF(ISEVEN(COLUMN()),$B78,$C78),W$43,INT(balancing!$B$41/balancing!$B$33*W$43),CombatantLevelAttributeMod)</f>
      </c>
    </row>
    <row r="79" spans="1:23" x14ac:dyDescent="0.25">
      <c r="A79" s="3">
        <f>'equipment-weapons'!A37</f>
      </c>
      <c r="B79" s="3">
        <f>'equipment-weapons'!F37</f>
      </c>
      <c r="C79" s="3">
        <f>'equipment-weapons'!G37</f>
      </c>
      <c r="D79" s="1">
        <f>ATTACKDAMAGE(IF(ISEVEN(COLUMN()),$B79,$C79),D$43,INT(balancing!$B$41/balancing!$B$33*D$43),CombatantLevelAttributeMod)</f>
      </c>
      <c r="E79" s="1">
        <f>ATTACKDAMAGE(IF(ISEVEN(COLUMN()),$B79,$C79),E$43,INT(balancing!$B$41/balancing!$B$33*E$43),CombatantLevelAttributeMod)</f>
      </c>
      <c r="F79" s="1">
        <f>ATTACKDAMAGE(IF(ISEVEN(COLUMN()),$B79,$C79),F$43,INT(balancing!$B$41/balancing!$B$33*F$43),CombatantLevelAttributeMod)</f>
      </c>
      <c r="G79" s="1">
        <f>ATTACKDAMAGE(IF(ISEVEN(COLUMN()),$B79,$C79),G$43,INT(balancing!$B$41/balancing!$B$33*G$43),CombatantLevelAttributeMod)</f>
      </c>
      <c r="H79" s="1">
        <f>ATTACKDAMAGE(IF(ISEVEN(COLUMN()),$B79,$C79),H$43,INT(balancing!$B$41/balancing!$B$33*H$43),CombatantLevelAttributeMod)</f>
      </c>
      <c r="I79" s="1">
        <f>ATTACKDAMAGE(IF(ISEVEN(COLUMN()),$B79,$C79),I$43,INT(balancing!$B$41/balancing!$B$33*I$43),CombatantLevelAttributeMod)</f>
      </c>
      <c r="J79" s="1">
        <f>ATTACKDAMAGE(IF(ISEVEN(COLUMN()),$B79,$C79),J$43,INT(balancing!$B$41/balancing!$B$33*J$43),CombatantLevelAttributeMod)</f>
      </c>
      <c r="K79" s="1">
        <f>ATTACKDAMAGE(IF(ISEVEN(COLUMN()),$B79,$C79),K$43,INT(balancing!$B$41/balancing!$B$33*K$43),CombatantLevelAttributeMod)</f>
      </c>
      <c r="L79" s="1">
        <f>ATTACKDAMAGE(IF(ISEVEN(COLUMN()),$B79,$C79),L$43,INT(balancing!$B$41/balancing!$B$33*L$43),CombatantLevelAttributeMod)</f>
      </c>
      <c r="M79" s="1">
        <f>ATTACKDAMAGE(IF(ISEVEN(COLUMN()),$B79,$C79),M$43,INT(balancing!$B$41/balancing!$B$33*M$43),CombatantLevelAttributeMod)</f>
      </c>
      <c r="N79" s="1">
        <f>ATTACKDAMAGE(IF(ISEVEN(COLUMN()),$B79,$C79),N$43,INT(balancing!$B$41/balancing!$B$33*N$43),CombatantLevelAttributeMod)</f>
      </c>
      <c r="O79" s="1">
        <f>ATTACKDAMAGE(IF(ISEVEN(COLUMN()),$B79,$C79),O$43,INT(balancing!$B$41/balancing!$B$33*O$43),CombatantLevelAttributeMod)</f>
      </c>
      <c r="P79" s="1">
        <f>ATTACKDAMAGE(IF(ISEVEN(COLUMN()),$B79,$C79),P$43,INT(balancing!$B$41/balancing!$B$33*P$43),CombatantLevelAttributeMod)</f>
      </c>
      <c r="Q79" s="1">
        <f>ATTACKDAMAGE(IF(ISEVEN(COLUMN()),$B79,$C79),Q$43,INT(balancing!$B$41/balancing!$B$33*Q$43),CombatantLevelAttributeMod)</f>
      </c>
      <c r="R79" s="1">
        <f>ATTACKDAMAGE(IF(ISEVEN(COLUMN()),$B79,$C79),R$43,INT(balancing!$B$41/balancing!$B$33*R$43),CombatantLevelAttributeMod)</f>
      </c>
      <c r="S79" s="1">
        <f>ATTACKDAMAGE(IF(ISEVEN(COLUMN()),$B79,$C79),S$43,INT(balancing!$B$41/balancing!$B$33*S$43),CombatantLevelAttributeMod)</f>
      </c>
      <c r="T79" s="1">
        <f>ATTACKDAMAGE(IF(ISEVEN(COLUMN()),$B79,$C79),T$43,INT(balancing!$B$41/balancing!$B$33*T$43),CombatantLevelAttributeMod)</f>
      </c>
      <c r="U79" s="1">
        <f>ATTACKDAMAGE(IF(ISEVEN(COLUMN()),$B79,$C79),U$43,INT(balancing!$B$41/balancing!$B$33*U$43),CombatantLevelAttributeMod)</f>
      </c>
      <c r="V79" s="1">
        <f>ATTACKDAMAGE(IF(ISEVEN(COLUMN()),$B79,$C79),V$43,INT(balancing!$B$41/balancing!$B$33*V$43),CombatantLevelAttributeMod)</f>
      </c>
      <c r="W79" s="1">
        <f>ATTACKDAMAGE(IF(ISEVEN(COLUMN()),$B79,$C79),W$43,INT(balancing!$B$41/balancing!$B$33*W$43),CombatantLevelAttributeMod)</f>
      </c>
    </row>
    <row r="80" spans="1:23" x14ac:dyDescent="0.25">
      <c r="A80" s="3">
        <f>'equipment-weapons'!A38</f>
      </c>
      <c r="B80" s="3">
        <f>'equipment-weapons'!F38</f>
      </c>
      <c r="C80" s="3">
        <f>'equipment-weapons'!G38</f>
      </c>
      <c r="D80" s="1">
        <f>ATTACKDAMAGE(IF(ISEVEN(COLUMN()),$B80,$C80),D$43,INT(balancing!$B$41/balancing!$B$33*D$43),CombatantLevelAttributeMod)</f>
      </c>
      <c r="E80" s="1">
        <f>ATTACKDAMAGE(IF(ISEVEN(COLUMN()),$B80,$C80),E$43,INT(balancing!$B$41/balancing!$B$33*E$43),CombatantLevelAttributeMod)</f>
      </c>
      <c r="F80" s="1">
        <f>ATTACKDAMAGE(IF(ISEVEN(COLUMN()),$B80,$C80),F$43,INT(balancing!$B$41/balancing!$B$33*F$43),CombatantLevelAttributeMod)</f>
      </c>
      <c r="G80" s="1">
        <f>ATTACKDAMAGE(IF(ISEVEN(COLUMN()),$B80,$C80),G$43,INT(balancing!$B$41/balancing!$B$33*G$43),CombatantLevelAttributeMod)</f>
      </c>
      <c r="H80" s="1">
        <f>ATTACKDAMAGE(IF(ISEVEN(COLUMN()),$B80,$C80),H$43,INT(balancing!$B$41/balancing!$B$33*H$43),CombatantLevelAttributeMod)</f>
      </c>
      <c r="I80" s="1">
        <f>ATTACKDAMAGE(IF(ISEVEN(COLUMN()),$B80,$C80),I$43,INT(balancing!$B$41/balancing!$B$33*I$43),CombatantLevelAttributeMod)</f>
      </c>
      <c r="J80" s="1">
        <f>ATTACKDAMAGE(IF(ISEVEN(COLUMN()),$B80,$C80),J$43,INT(balancing!$B$41/balancing!$B$33*J$43),CombatantLevelAttributeMod)</f>
      </c>
      <c r="K80" s="1">
        <f>ATTACKDAMAGE(IF(ISEVEN(COLUMN()),$B80,$C80),K$43,INT(balancing!$B$41/balancing!$B$33*K$43),CombatantLevelAttributeMod)</f>
      </c>
      <c r="L80" s="1">
        <f>ATTACKDAMAGE(IF(ISEVEN(COLUMN()),$B80,$C80),L$43,INT(balancing!$B$41/balancing!$B$33*L$43),CombatantLevelAttributeMod)</f>
      </c>
      <c r="M80" s="1">
        <f>ATTACKDAMAGE(IF(ISEVEN(COLUMN()),$B80,$C80),M$43,INT(balancing!$B$41/balancing!$B$33*M$43),CombatantLevelAttributeMod)</f>
      </c>
      <c r="N80" s="1">
        <f>ATTACKDAMAGE(IF(ISEVEN(COLUMN()),$B80,$C80),N$43,INT(balancing!$B$41/balancing!$B$33*N$43),CombatantLevelAttributeMod)</f>
      </c>
      <c r="O80" s="1">
        <f>ATTACKDAMAGE(IF(ISEVEN(COLUMN()),$B80,$C80),O$43,INT(balancing!$B$41/balancing!$B$33*O$43),CombatantLevelAttributeMod)</f>
      </c>
      <c r="P80" s="1">
        <f>ATTACKDAMAGE(IF(ISEVEN(COLUMN()),$B80,$C80),P$43,INT(balancing!$B$41/balancing!$B$33*P$43),CombatantLevelAttributeMod)</f>
      </c>
      <c r="Q80" s="1">
        <f>ATTACKDAMAGE(IF(ISEVEN(COLUMN()),$B80,$C80),Q$43,INT(balancing!$B$41/balancing!$B$33*Q$43),CombatantLevelAttributeMod)</f>
      </c>
      <c r="R80" s="1">
        <f>ATTACKDAMAGE(IF(ISEVEN(COLUMN()),$B80,$C80),R$43,INT(balancing!$B$41/balancing!$B$33*R$43),CombatantLevelAttributeMod)</f>
      </c>
      <c r="S80" s="1">
        <f>ATTACKDAMAGE(IF(ISEVEN(COLUMN()),$B80,$C80),S$43,INT(balancing!$B$41/balancing!$B$33*S$43),CombatantLevelAttributeMod)</f>
      </c>
      <c r="T80" s="1">
        <f>ATTACKDAMAGE(IF(ISEVEN(COLUMN()),$B80,$C80),T$43,INT(balancing!$B$41/balancing!$B$33*T$43),CombatantLevelAttributeMod)</f>
      </c>
      <c r="U80" s="1">
        <f>ATTACKDAMAGE(IF(ISEVEN(COLUMN()),$B80,$C80),U$43,INT(balancing!$B$41/balancing!$B$33*U$43),CombatantLevelAttributeMod)</f>
      </c>
      <c r="V80" s="1">
        <f>ATTACKDAMAGE(IF(ISEVEN(COLUMN()),$B80,$C80),V$43,INT(balancing!$B$41/balancing!$B$33*V$43),CombatantLevelAttributeMod)</f>
      </c>
      <c r="W80" s="1">
        <f>ATTACKDAMAGE(IF(ISEVEN(COLUMN()),$B80,$C80),W$43,INT(balancing!$B$41/balancing!$B$33*W$43),CombatantLevelAttributeMod)</f>
      </c>
    </row>
    <row r="81" spans="1:23" x14ac:dyDescent="0.25">
      <c r="A81" s="3">
        <f>'equipment-weapons'!A39</f>
      </c>
      <c r="B81" s="3">
        <f>'equipment-weapons'!F39</f>
      </c>
      <c r="C81" s="3">
        <f>'equipment-weapons'!G39</f>
      </c>
      <c r="D81" s="1">
        <f>ATTACKDAMAGE(IF(ISEVEN(COLUMN()),$B81,$C81),D$43,INT(balancing!$B$41/balancing!$B$33*D$43),CombatantLevelAttributeMod)</f>
      </c>
      <c r="E81" s="1">
        <f>ATTACKDAMAGE(IF(ISEVEN(COLUMN()),$B81,$C81),E$43,INT(balancing!$B$41/balancing!$B$33*E$43),CombatantLevelAttributeMod)</f>
      </c>
      <c r="F81" s="1">
        <f>ATTACKDAMAGE(IF(ISEVEN(COLUMN()),$B81,$C81),F$43,INT(balancing!$B$41/balancing!$B$33*F$43),CombatantLevelAttributeMod)</f>
      </c>
      <c r="G81" s="1">
        <f>ATTACKDAMAGE(IF(ISEVEN(COLUMN()),$B81,$C81),G$43,INT(balancing!$B$41/balancing!$B$33*G$43),CombatantLevelAttributeMod)</f>
      </c>
      <c r="H81" s="1">
        <f>ATTACKDAMAGE(IF(ISEVEN(COLUMN()),$B81,$C81),H$43,INT(balancing!$B$41/balancing!$B$33*H$43),CombatantLevelAttributeMod)</f>
      </c>
      <c r="I81" s="1">
        <f>ATTACKDAMAGE(IF(ISEVEN(COLUMN()),$B81,$C81),I$43,INT(balancing!$B$41/balancing!$B$33*I$43),CombatantLevelAttributeMod)</f>
      </c>
      <c r="J81" s="1">
        <f>ATTACKDAMAGE(IF(ISEVEN(COLUMN()),$B81,$C81),J$43,INT(balancing!$B$41/balancing!$B$33*J$43),CombatantLevelAttributeMod)</f>
      </c>
      <c r="K81" s="1">
        <f>ATTACKDAMAGE(IF(ISEVEN(COLUMN()),$B81,$C81),K$43,INT(balancing!$B$41/balancing!$B$33*K$43),CombatantLevelAttributeMod)</f>
      </c>
      <c r="L81" s="1">
        <f>ATTACKDAMAGE(IF(ISEVEN(COLUMN()),$B81,$C81),L$43,INT(balancing!$B$41/balancing!$B$33*L$43),CombatantLevelAttributeMod)</f>
      </c>
      <c r="M81" s="1">
        <f>ATTACKDAMAGE(IF(ISEVEN(COLUMN()),$B81,$C81),M$43,INT(balancing!$B$41/balancing!$B$33*M$43),CombatantLevelAttributeMod)</f>
      </c>
      <c r="N81" s="1">
        <f>ATTACKDAMAGE(IF(ISEVEN(COLUMN()),$B81,$C81),N$43,INT(balancing!$B$41/balancing!$B$33*N$43),CombatantLevelAttributeMod)</f>
      </c>
      <c r="O81" s="1">
        <f>ATTACKDAMAGE(IF(ISEVEN(COLUMN()),$B81,$C81),O$43,INT(balancing!$B$41/balancing!$B$33*O$43),CombatantLevelAttributeMod)</f>
      </c>
      <c r="P81" s="1">
        <f>ATTACKDAMAGE(IF(ISEVEN(COLUMN()),$B81,$C81),P$43,INT(balancing!$B$41/balancing!$B$33*P$43),CombatantLevelAttributeMod)</f>
      </c>
      <c r="Q81" s="1">
        <f>ATTACKDAMAGE(IF(ISEVEN(COLUMN()),$B81,$C81),Q$43,INT(balancing!$B$41/balancing!$B$33*Q$43),CombatantLevelAttributeMod)</f>
      </c>
      <c r="R81" s="1">
        <f>ATTACKDAMAGE(IF(ISEVEN(COLUMN()),$B81,$C81),R$43,INT(balancing!$B$41/balancing!$B$33*R$43),CombatantLevelAttributeMod)</f>
      </c>
      <c r="S81" s="1">
        <f>ATTACKDAMAGE(IF(ISEVEN(COLUMN()),$B81,$C81),S$43,INT(balancing!$B$41/balancing!$B$33*S$43),CombatantLevelAttributeMod)</f>
      </c>
      <c r="T81" s="1">
        <f>ATTACKDAMAGE(IF(ISEVEN(COLUMN()),$B81,$C81),T$43,INT(balancing!$B$41/balancing!$B$33*T$43),CombatantLevelAttributeMod)</f>
      </c>
      <c r="U81" s="1">
        <f>ATTACKDAMAGE(IF(ISEVEN(COLUMN()),$B81,$C81),U$43,INT(balancing!$B$41/balancing!$B$33*U$43),CombatantLevelAttributeMod)</f>
      </c>
      <c r="V81" s="1">
        <f>ATTACKDAMAGE(IF(ISEVEN(COLUMN()),$B81,$C81),V$43,INT(balancing!$B$41/balancing!$B$33*V$43),CombatantLevelAttributeMod)</f>
      </c>
      <c r="W81" s="1">
        <f>ATTACKDAMAGE(IF(ISEVEN(COLUMN()),$B81,$C81),W$43,INT(balancing!$B$41/balancing!$B$33*W$43),CombatantLevelAttributeMod)</f>
      </c>
    </row>
    <row r="82" spans="1:23" x14ac:dyDescent="0.25">
      <c r="A82" s="3">
        <f>'equipment-weapons'!A40</f>
      </c>
      <c r="B82" s="3">
        <f>'equipment-weapons'!F40</f>
      </c>
      <c r="C82" s="3">
        <f>'equipment-weapons'!G40</f>
      </c>
      <c r="D82" s="1">
        <f>ATTACKDAMAGE(IF(ISEVEN(COLUMN()),$B82,$C82),D$43,INT(balancing!$B$41/balancing!$B$33*D$43),CombatantLevelAttributeMod)</f>
      </c>
      <c r="E82" s="1">
        <f>ATTACKDAMAGE(IF(ISEVEN(COLUMN()),$B82,$C82),E$43,INT(balancing!$B$41/balancing!$B$33*E$43),CombatantLevelAttributeMod)</f>
      </c>
      <c r="F82" s="1">
        <f>ATTACKDAMAGE(IF(ISEVEN(COLUMN()),$B82,$C82),F$43,INT(balancing!$B$41/balancing!$B$33*F$43),CombatantLevelAttributeMod)</f>
      </c>
      <c r="G82" s="1">
        <f>ATTACKDAMAGE(IF(ISEVEN(COLUMN()),$B82,$C82),G$43,INT(balancing!$B$41/balancing!$B$33*G$43),CombatantLevelAttributeMod)</f>
      </c>
      <c r="H82" s="1">
        <f>ATTACKDAMAGE(IF(ISEVEN(COLUMN()),$B82,$C82),H$43,INT(balancing!$B$41/balancing!$B$33*H$43),CombatantLevelAttributeMod)</f>
      </c>
      <c r="I82" s="1">
        <f>ATTACKDAMAGE(IF(ISEVEN(COLUMN()),$B82,$C82),I$43,INT(balancing!$B$41/balancing!$B$33*I$43),CombatantLevelAttributeMod)</f>
      </c>
      <c r="J82" s="1">
        <f>ATTACKDAMAGE(IF(ISEVEN(COLUMN()),$B82,$C82),J$43,INT(balancing!$B$41/balancing!$B$33*J$43),CombatantLevelAttributeMod)</f>
      </c>
      <c r="K82" s="1">
        <f>ATTACKDAMAGE(IF(ISEVEN(COLUMN()),$B82,$C82),K$43,INT(balancing!$B$41/balancing!$B$33*K$43),CombatantLevelAttributeMod)</f>
      </c>
      <c r="L82" s="1">
        <f>ATTACKDAMAGE(IF(ISEVEN(COLUMN()),$B82,$C82),L$43,INT(balancing!$B$41/balancing!$B$33*L$43),CombatantLevelAttributeMod)</f>
      </c>
      <c r="M82" s="1">
        <f>ATTACKDAMAGE(IF(ISEVEN(COLUMN()),$B82,$C82),M$43,INT(balancing!$B$41/balancing!$B$33*M$43),CombatantLevelAttributeMod)</f>
      </c>
      <c r="N82" s="1">
        <f>ATTACKDAMAGE(IF(ISEVEN(COLUMN()),$B82,$C82),N$43,INT(balancing!$B$41/balancing!$B$33*N$43),CombatantLevelAttributeMod)</f>
      </c>
      <c r="O82" s="1">
        <f>ATTACKDAMAGE(IF(ISEVEN(COLUMN()),$B82,$C82),O$43,INT(balancing!$B$41/balancing!$B$33*O$43),CombatantLevelAttributeMod)</f>
      </c>
      <c r="P82" s="1">
        <f>ATTACKDAMAGE(IF(ISEVEN(COLUMN()),$B82,$C82),P$43,INT(balancing!$B$41/balancing!$B$33*P$43),CombatantLevelAttributeMod)</f>
      </c>
      <c r="Q82" s="1">
        <f>ATTACKDAMAGE(IF(ISEVEN(COLUMN()),$B82,$C82),Q$43,INT(balancing!$B$41/balancing!$B$33*Q$43),CombatantLevelAttributeMod)</f>
      </c>
      <c r="R82" s="1">
        <f>ATTACKDAMAGE(IF(ISEVEN(COLUMN()),$B82,$C82),R$43,INT(balancing!$B$41/balancing!$B$33*R$43),CombatantLevelAttributeMod)</f>
      </c>
      <c r="S82" s="1">
        <f>ATTACKDAMAGE(IF(ISEVEN(COLUMN()),$B82,$C82),S$43,INT(balancing!$B$41/balancing!$B$33*S$43),CombatantLevelAttributeMod)</f>
      </c>
      <c r="T82" s="1">
        <f>ATTACKDAMAGE(IF(ISEVEN(COLUMN()),$B82,$C82),T$43,INT(balancing!$B$41/balancing!$B$33*T$43),CombatantLevelAttributeMod)</f>
      </c>
      <c r="U82" s="1">
        <f>ATTACKDAMAGE(IF(ISEVEN(COLUMN()),$B82,$C82),U$43,INT(balancing!$B$41/balancing!$B$33*U$43),CombatantLevelAttributeMod)</f>
      </c>
      <c r="V82" s="1">
        <f>ATTACKDAMAGE(IF(ISEVEN(COLUMN()),$B82,$C82),V$43,INT(balancing!$B$41/balancing!$B$33*V$43),CombatantLevelAttributeMod)</f>
      </c>
      <c r="W82" s="1">
        <f>ATTACKDAMAGE(IF(ISEVEN(COLUMN()),$B82,$C82),W$43,INT(balancing!$B$41/balancing!$B$33*W$43),CombatantLevelAttributeMod)</f>
      </c>
    </row>
    <row r="83" spans="1:23" x14ac:dyDescent="0.25">
      <c r="A83" s="3">
        <f>'equipment-weapons'!A41</f>
      </c>
      <c r="B83" s="3">
        <f>'equipment-weapons'!F41</f>
      </c>
      <c r="C83" s="3">
        <f>'equipment-weapons'!G41</f>
      </c>
      <c r="D83" s="1">
        <f>ATTACKDAMAGE(IF(ISEVEN(COLUMN()),$B83,$C83),D$43,INT(balancing!$B$41/balancing!$B$33*D$43),CombatantLevelAttributeMod)</f>
      </c>
      <c r="E83" s="1">
        <f>ATTACKDAMAGE(IF(ISEVEN(COLUMN()),$B83,$C83),E$43,INT(balancing!$B$41/balancing!$B$33*E$43),CombatantLevelAttributeMod)</f>
      </c>
      <c r="F83" s="1">
        <f>ATTACKDAMAGE(IF(ISEVEN(COLUMN()),$B83,$C83),F$43,INT(balancing!$B$41/balancing!$B$33*F$43),CombatantLevelAttributeMod)</f>
      </c>
      <c r="G83" s="1">
        <f>ATTACKDAMAGE(IF(ISEVEN(COLUMN()),$B83,$C83),G$43,INT(balancing!$B$41/balancing!$B$33*G$43),CombatantLevelAttributeMod)</f>
      </c>
      <c r="H83" s="1">
        <f>ATTACKDAMAGE(IF(ISEVEN(COLUMN()),$B83,$C83),H$43,INT(balancing!$B$41/balancing!$B$33*H$43),CombatantLevelAttributeMod)</f>
      </c>
      <c r="I83" s="1">
        <f>ATTACKDAMAGE(IF(ISEVEN(COLUMN()),$B83,$C83),I$43,INT(balancing!$B$41/balancing!$B$33*I$43),CombatantLevelAttributeMod)</f>
      </c>
      <c r="J83" s="1">
        <f>ATTACKDAMAGE(IF(ISEVEN(COLUMN()),$B83,$C83),J$43,INT(balancing!$B$41/balancing!$B$33*J$43),CombatantLevelAttributeMod)</f>
      </c>
      <c r="K83" s="1">
        <f>ATTACKDAMAGE(IF(ISEVEN(COLUMN()),$B83,$C83),K$43,INT(balancing!$B$41/balancing!$B$33*K$43),CombatantLevelAttributeMod)</f>
      </c>
      <c r="L83" s="1">
        <f>ATTACKDAMAGE(IF(ISEVEN(COLUMN()),$B83,$C83),L$43,INT(balancing!$B$41/balancing!$B$33*L$43),CombatantLevelAttributeMod)</f>
      </c>
      <c r="M83" s="1">
        <f>ATTACKDAMAGE(IF(ISEVEN(COLUMN()),$B83,$C83),M$43,INT(balancing!$B$41/balancing!$B$33*M$43),CombatantLevelAttributeMod)</f>
      </c>
      <c r="N83" s="1">
        <f>ATTACKDAMAGE(IF(ISEVEN(COLUMN()),$B83,$C83),N$43,INT(balancing!$B$41/balancing!$B$33*N$43),CombatantLevelAttributeMod)</f>
      </c>
      <c r="O83" s="1">
        <f>ATTACKDAMAGE(IF(ISEVEN(COLUMN()),$B83,$C83),O$43,INT(balancing!$B$41/balancing!$B$33*O$43),CombatantLevelAttributeMod)</f>
      </c>
      <c r="P83" s="1">
        <f>ATTACKDAMAGE(IF(ISEVEN(COLUMN()),$B83,$C83),P$43,INT(balancing!$B$41/balancing!$B$33*P$43),CombatantLevelAttributeMod)</f>
      </c>
      <c r="Q83" s="1">
        <f>ATTACKDAMAGE(IF(ISEVEN(COLUMN()),$B83,$C83),Q$43,INT(balancing!$B$41/balancing!$B$33*Q$43),CombatantLevelAttributeMod)</f>
      </c>
      <c r="R83" s="1">
        <f>ATTACKDAMAGE(IF(ISEVEN(COLUMN()),$B83,$C83),R$43,INT(balancing!$B$41/balancing!$B$33*R$43),CombatantLevelAttributeMod)</f>
      </c>
      <c r="S83" s="1">
        <f>ATTACKDAMAGE(IF(ISEVEN(COLUMN()),$B83,$C83),S$43,INT(balancing!$B$41/balancing!$B$33*S$43),CombatantLevelAttributeMod)</f>
      </c>
      <c r="T83" s="1">
        <f>ATTACKDAMAGE(IF(ISEVEN(COLUMN()),$B83,$C83),T$43,INT(balancing!$B$41/balancing!$B$33*T$43),CombatantLevelAttributeMod)</f>
      </c>
      <c r="U83" s="1">
        <f>ATTACKDAMAGE(IF(ISEVEN(COLUMN()),$B83,$C83),U$43,INT(balancing!$B$41/balancing!$B$33*U$43),CombatantLevelAttributeMod)</f>
      </c>
      <c r="V83" s="1">
        <f>ATTACKDAMAGE(IF(ISEVEN(COLUMN()),$B83,$C83),V$43,INT(balancing!$B$41/balancing!$B$33*V$43),CombatantLevelAttributeMod)</f>
      </c>
      <c r="W83" s="1">
        <f>ATTACKDAMAGE(IF(ISEVEN(COLUMN()),$B83,$C83),W$43,INT(balancing!$B$41/balancing!$B$33*W$43),CombatantLevelAttributeMod)</f>
      </c>
    </row>
    <row r="85" spans="1:23" x14ac:dyDescent="0.25">
      <c r="A85" s="1" t="s">
        <v>3</v>
      </c>
      <c r="B85" s="2" t="s">
        <v>0</v>
      </c>
      <c r="C85" s="2" t="s">
        <v>1</v>
      </c>
      <c r="D85" s="2">
        <v>1</v>
      </c>
      <c r="E85" s="2">
        <v>1</v>
      </c>
      <c r="F85" s="2">
        <v>2</v>
      </c>
      <c r="G85" s="2">
        <v>2</v>
      </c>
      <c r="H85" s="2">
        <v>3</v>
      </c>
      <c r="I85" s="2">
        <v>3</v>
      </c>
      <c r="J85" s="2">
        <v>4</v>
      </c>
      <c r="K85" s="2">
        <v>4</v>
      </c>
      <c r="L85" s="2">
        <v>5</v>
      </c>
      <c r="M85" s="2">
        <v>5</v>
      </c>
      <c r="N85" s="2">
        <v>6</v>
      </c>
      <c r="O85" s="2">
        <v>6</v>
      </c>
      <c r="P85" s="2">
        <v>7</v>
      </c>
      <c r="Q85" s="2">
        <v>7</v>
      </c>
      <c r="R85" s="2">
        <v>8</v>
      </c>
      <c r="S85" s="2">
        <v>8</v>
      </c>
      <c r="T85" s="2">
        <v>9</v>
      </c>
      <c r="U85" s="2">
        <v>9</v>
      </c>
      <c r="V85" s="2">
        <v>10</v>
      </c>
      <c r="W85" s="2">
        <v>10</v>
      </c>
    </row>
    <row r="86" spans="1:23" x14ac:dyDescent="0.25">
      <c r="A86" s="3">
        <f>'equipment-weapons'!A2</f>
      </c>
      <c r="B86" s="3">
        <f>'equipment-weapons'!F2</f>
      </c>
      <c r="C86" s="3">
        <f>'equipment-weapons'!G2</f>
      </c>
      <c r="D86" s="1">
        <f>ATTACKDAMAGE(IF(ISEVEN(COLUMN()),$B86,$C86),D$85,INT(balancing!$B$43/balancing!$B$33*D$85),CombatantLevelAttributeMod)</f>
      </c>
      <c r="E86" s="1">
        <f>ATTACKDAMAGE(IF(ISEVEN(COLUMN()),$B86,$C86),E$85,INT(balancing!$B$43/balancing!$B$33*E$85),CombatantLevelAttributeMod)</f>
      </c>
      <c r="F86" s="1">
        <f>ATTACKDAMAGE(IF(ISEVEN(COLUMN()),$B86,$C86),F$85,INT(balancing!$B$43/balancing!$B$33*F$85),CombatantLevelAttributeMod)</f>
      </c>
      <c r="G86" s="1">
        <f>ATTACKDAMAGE(IF(ISEVEN(COLUMN()),$B86,$C86),G$85,INT(balancing!$B$43/balancing!$B$33*G$85),CombatantLevelAttributeMod)</f>
      </c>
      <c r="H86" s="1">
        <f>ATTACKDAMAGE(IF(ISEVEN(COLUMN()),$B86,$C86),H$85,INT(balancing!$B$43/balancing!$B$33*H$85),CombatantLevelAttributeMod)</f>
      </c>
      <c r="I86" s="1">
        <f>ATTACKDAMAGE(IF(ISEVEN(COLUMN()),$B86,$C86),I$85,INT(balancing!$B$43/balancing!$B$33*I$85),CombatantLevelAttributeMod)</f>
      </c>
      <c r="J86" s="1">
        <f>ATTACKDAMAGE(IF(ISEVEN(COLUMN()),$B86,$C86),J$85,INT(balancing!$B$43/balancing!$B$33*J$85),CombatantLevelAttributeMod)</f>
      </c>
      <c r="K86" s="1">
        <f>ATTACKDAMAGE(IF(ISEVEN(COLUMN()),$B86,$C86),K$85,INT(balancing!$B$43/balancing!$B$33*K$85),CombatantLevelAttributeMod)</f>
      </c>
      <c r="L86" s="1">
        <f>ATTACKDAMAGE(IF(ISEVEN(COLUMN()),$B86,$C86),L$85,INT(balancing!$B$43/balancing!$B$33*L$85),CombatantLevelAttributeMod)</f>
      </c>
      <c r="M86" s="1">
        <f>ATTACKDAMAGE(IF(ISEVEN(COLUMN()),$B86,$C86),M$85,INT(balancing!$B$43/balancing!$B$33*M$85),CombatantLevelAttributeMod)</f>
      </c>
      <c r="N86" s="1">
        <f>ATTACKDAMAGE(IF(ISEVEN(COLUMN()),$B86,$C86),N$85,INT(balancing!$B$43/balancing!$B$33*N$85),CombatantLevelAttributeMod)</f>
      </c>
      <c r="O86" s="1">
        <f>ATTACKDAMAGE(IF(ISEVEN(COLUMN()),$B86,$C86),O$85,INT(balancing!$B$43/balancing!$B$33*O$85),CombatantLevelAttributeMod)</f>
      </c>
      <c r="P86" s="1">
        <f>ATTACKDAMAGE(IF(ISEVEN(COLUMN()),$B86,$C86),P$85,INT(balancing!$B$43/balancing!$B$33*P$85),CombatantLevelAttributeMod)</f>
      </c>
      <c r="Q86" s="1">
        <f>ATTACKDAMAGE(IF(ISEVEN(COLUMN()),$B86,$C86),Q$85,INT(balancing!$B$43/balancing!$B$33*Q$85),CombatantLevelAttributeMod)</f>
      </c>
      <c r="R86" s="1">
        <f>ATTACKDAMAGE(IF(ISEVEN(COLUMN()),$B86,$C86),R$85,INT(balancing!$B$43/balancing!$B$33*R$85),CombatantLevelAttributeMod)</f>
      </c>
      <c r="S86" s="1">
        <f>ATTACKDAMAGE(IF(ISEVEN(COLUMN()),$B86,$C86),S$85,INT(balancing!$B$43/balancing!$B$33*S$85),CombatantLevelAttributeMod)</f>
      </c>
      <c r="T86" s="1">
        <f>ATTACKDAMAGE(IF(ISEVEN(COLUMN()),$B86,$C86),T$85,INT(balancing!$B$43/balancing!$B$33*T$85),CombatantLevelAttributeMod)</f>
      </c>
      <c r="U86" s="1">
        <f>ATTACKDAMAGE(IF(ISEVEN(COLUMN()),$B86,$C86),U$85,INT(balancing!$B$43/balancing!$B$33*U$85),CombatantLevelAttributeMod)</f>
      </c>
      <c r="V86" s="1">
        <f>ATTACKDAMAGE(IF(ISEVEN(COLUMN()),$B86,$C86),V$85,INT(balancing!$B$43/balancing!$B$33*V$85),CombatantLevelAttributeMod)</f>
      </c>
      <c r="W86" s="1">
        <f>ATTACKDAMAGE(IF(ISEVEN(COLUMN()),$B86,$C86),W$85,INT(balancing!$B$43/balancing!$B$33*W$85),CombatantLevelAttributeMod)</f>
      </c>
    </row>
    <row r="87" spans="1:23" x14ac:dyDescent="0.25">
      <c r="A87" s="3">
        <f>'equipment-weapons'!A3</f>
      </c>
      <c r="B87" s="3">
        <f>'equipment-weapons'!F3</f>
      </c>
      <c r="C87" s="3">
        <f>'equipment-weapons'!G3</f>
      </c>
      <c r="D87" s="1">
        <f>ATTACKDAMAGE(IF(ISEVEN(COLUMN()),$B87,$C87),D$85,INT(balancing!$B$43/balancing!$B$33*D$85),CombatantLevelAttributeMod)</f>
      </c>
      <c r="E87" s="1">
        <f>ATTACKDAMAGE(IF(ISEVEN(COLUMN()),$B87,$C87),E$85,INT(balancing!$B$43/balancing!$B$33*E$85),CombatantLevelAttributeMod)</f>
      </c>
      <c r="F87" s="1">
        <f>ATTACKDAMAGE(IF(ISEVEN(COLUMN()),$B87,$C87),F$85,INT(balancing!$B$43/balancing!$B$33*F$85),CombatantLevelAttributeMod)</f>
      </c>
      <c r="G87" s="1">
        <f>ATTACKDAMAGE(IF(ISEVEN(COLUMN()),$B87,$C87),G$85,INT(balancing!$B$43/balancing!$B$33*G$85),CombatantLevelAttributeMod)</f>
      </c>
      <c r="H87" s="1">
        <f>ATTACKDAMAGE(IF(ISEVEN(COLUMN()),$B87,$C87),H$85,INT(balancing!$B$43/balancing!$B$33*H$85),CombatantLevelAttributeMod)</f>
      </c>
      <c r="I87" s="1">
        <f>ATTACKDAMAGE(IF(ISEVEN(COLUMN()),$B87,$C87),I$85,INT(balancing!$B$43/balancing!$B$33*I$85),CombatantLevelAttributeMod)</f>
      </c>
      <c r="J87" s="1">
        <f>ATTACKDAMAGE(IF(ISEVEN(COLUMN()),$B87,$C87),J$85,INT(balancing!$B$43/balancing!$B$33*J$85),CombatantLevelAttributeMod)</f>
      </c>
      <c r="K87" s="1">
        <f>ATTACKDAMAGE(IF(ISEVEN(COLUMN()),$B87,$C87),K$85,INT(balancing!$B$43/balancing!$B$33*K$85),CombatantLevelAttributeMod)</f>
      </c>
      <c r="L87" s="1">
        <f>ATTACKDAMAGE(IF(ISEVEN(COLUMN()),$B87,$C87),L$85,INT(balancing!$B$43/balancing!$B$33*L$85),CombatantLevelAttributeMod)</f>
      </c>
      <c r="M87" s="1">
        <f>ATTACKDAMAGE(IF(ISEVEN(COLUMN()),$B87,$C87),M$85,INT(balancing!$B$43/balancing!$B$33*M$85),CombatantLevelAttributeMod)</f>
      </c>
      <c r="N87" s="1">
        <f>ATTACKDAMAGE(IF(ISEVEN(COLUMN()),$B87,$C87),N$85,INT(balancing!$B$43/balancing!$B$33*N$85),CombatantLevelAttributeMod)</f>
      </c>
      <c r="O87" s="1">
        <f>ATTACKDAMAGE(IF(ISEVEN(COLUMN()),$B87,$C87),O$85,INT(balancing!$B$43/balancing!$B$33*O$85),CombatantLevelAttributeMod)</f>
      </c>
      <c r="P87" s="1">
        <f>ATTACKDAMAGE(IF(ISEVEN(COLUMN()),$B87,$C87),P$85,INT(balancing!$B$43/balancing!$B$33*P$85),CombatantLevelAttributeMod)</f>
      </c>
      <c r="Q87" s="1">
        <f>ATTACKDAMAGE(IF(ISEVEN(COLUMN()),$B87,$C87),Q$85,INT(balancing!$B$43/balancing!$B$33*Q$85),CombatantLevelAttributeMod)</f>
      </c>
      <c r="R87" s="1">
        <f>ATTACKDAMAGE(IF(ISEVEN(COLUMN()),$B87,$C87),R$85,INT(balancing!$B$43/balancing!$B$33*R$85),CombatantLevelAttributeMod)</f>
      </c>
      <c r="S87" s="1">
        <f>ATTACKDAMAGE(IF(ISEVEN(COLUMN()),$B87,$C87),S$85,INT(balancing!$B$43/balancing!$B$33*S$85),CombatantLevelAttributeMod)</f>
      </c>
      <c r="T87" s="1">
        <f>ATTACKDAMAGE(IF(ISEVEN(COLUMN()),$B87,$C87),T$85,INT(balancing!$B$43/balancing!$B$33*T$85),CombatantLevelAttributeMod)</f>
      </c>
      <c r="U87" s="1">
        <f>ATTACKDAMAGE(IF(ISEVEN(COLUMN()),$B87,$C87),U$85,INT(balancing!$B$43/balancing!$B$33*U$85),CombatantLevelAttributeMod)</f>
      </c>
      <c r="V87" s="1">
        <f>ATTACKDAMAGE(IF(ISEVEN(COLUMN()),$B87,$C87),V$85,INT(balancing!$B$43/balancing!$B$33*V$85),CombatantLevelAttributeMod)</f>
      </c>
      <c r="W87" s="1">
        <f>ATTACKDAMAGE(IF(ISEVEN(COLUMN()),$B87,$C87),W$85,INT(balancing!$B$43/balancing!$B$33*W$85),CombatantLevelAttributeMod)</f>
      </c>
    </row>
    <row r="88" spans="1:23" x14ac:dyDescent="0.25">
      <c r="A88" s="3">
        <f>'equipment-weapons'!A4</f>
      </c>
      <c r="B88" s="3">
        <f>'equipment-weapons'!F4</f>
      </c>
      <c r="C88" s="3">
        <f>'equipment-weapons'!G4</f>
      </c>
      <c r="D88" s="1">
        <f>ATTACKDAMAGE(IF(ISEVEN(COLUMN()),$B88,$C88),D$85,INT(balancing!$B$43/balancing!$B$33*D$85),CombatantLevelAttributeMod)</f>
      </c>
      <c r="E88" s="1">
        <f>ATTACKDAMAGE(IF(ISEVEN(COLUMN()),$B88,$C88),E$85,INT(balancing!$B$43/balancing!$B$33*E$85),CombatantLevelAttributeMod)</f>
      </c>
      <c r="F88" s="1">
        <f>ATTACKDAMAGE(IF(ISEVEN(COLUMN()),$B88,$C88),F$85,INT(balancing!$B$43/balancing!$B$33*F$85),CombatantLevelAttributeMod)</f>
      </c>
      <c r="G88" s="1">
        <f>ATTACKDAMAGE(IF(ISEVEN(COLUMN()),$B88,$C88),G$85,INT(balancing!$B$43/balancing!$B$33*G$85),CombatantLevelAttributeMod)</f>
      </c>
      <c r="H88" s="1">
        <f>ATTACKDAMAGE(IF(ISEVEN(COLUMN()),$B88,$C88),H$85,INT(balancing!$B$43/balancing!$B$33*H$85),CombatantLevelAttributeMod)</f>
      </c>
      <c r="I88" s="1">
        <f>ATTACKDAMAGE(IF(ISEVEN(COLUMN()),$B88,$C88),I$85,INT(balancing!$B$43/balancing!$B$33*I$85),CombatantLevelAttributeMod)</f>
      </c>
      <c r="J88" s="1">
        <f>ATTACKDAMAGE(IF(ISEVEN(COLUMN()),$B88,$C88),J$85,INT(balancing!$B$43/balancing!$B$33*J$85),CombatantLevelAttributeMod)</f>
      </c>
      <c r="K88" s="1">
        <f>ATTACKDAMAGE(IF(ISEVEN(COLUMN()),$B88,$C88),K$85,INT(balancing!$B$43/balancing!$B$33*K$85),CombatantLevelAttributeMod)</f>
      </c>
      <c r="L88" s="1">
        <f>ATTACKDAMAGE(IF(ISEVEN(COLUMN()),$B88,$C88),L$85,INT(balancing!$B$43/balancing!$B$33*L$85),CombatantLevelAttributeMod)</f>
      </c>
      <c r="M88" s="1">
        <f>ATTACKDAMAGE(IF(ISEVEN(COLUMN()),$B88,$C88),M$85,INT(balancing!$B$43/balancing!$B$33*M$85),CombatantLevelAttributeMod)</f>
      </c>
      <c r="N88" s="1">
        <f>ATTACKDAMAGE(IF(ISEVEN(COLUMN()),$B88,$C88),N$85,INT(balancing!$B$43/balancing!$B$33*N$85),CombatantLevelAttributeMod)</f>
      </c>
      <c r="O88" s="1">
        <f>ATTACKDAMAGE(IF(ISEVEN(COLUMN()),$B88,$C88),O$85,INT(balancing!$B$43/balancing!$B$33*O$85),CombatantLevelAttributeMod)</f>
      </c>
      <c r="P88" s="1">
        <f>ATTACKDAMAGE(IF(ISEVEN(COLUMN()),$B88,$C88),P$85,INT(balancing!$B$43/balancing!$B$33*P$85),CombatantLevelAttributeMod)</f>
      </c>
      <c r="Q88" s="1">
        <f>ATTACKDAMAGE(IF(ISEVEN(COLUMN()),$B88,$C88),Q$85,INT(balancing!$B$43/balancing!$B$33*Q$85),CombatantLevelAttributeMod)</f>
      </c>
      <c r="R88" s="1">
        <f>ATTACKDAMAGE(IF(ISEVEN(COLUMN()),$B88,$C88),R$85,INT(balancing!$B$43/balancing!$B$33*R$85),CombatantLevelAttributeMod)</f>
      </c>
      <c r="S88" s="1">
        <f>ATTACKDAMAGE(IF(ISEVEN(COLUMN()),$B88,$C88),S$85,INT(balancing!$B$43/balancing!$B$33*S$85),CombatantLevelAttributeMod)</f>
      </c>
      <c r="T88" s="1">
        <f>ATTACKDAMAGE(IF(ISEVEN(COLUMN()),$B88,$C88),T$85,INT(balancing!$B$43/balancing!$B$33*T$85),CombatantLevelAttributeMod)</f>
      </c>
      <c r="U88" s="1">
        <f>ATTACKDAMAGE(IF(ISEVEN(COLUMN()),$B88,$C88),U$85,INT(balancing!$B$43/balancing!$B$33*U$85),CombatantLevelAttributeMod)</f>
      </c>
      <c r="V88" s="1">
        <f>ATTACKDAMAGE(IF(ISEVEN(COLUMN()),$B88,$C88),V$85,INT(balancing!$B$43/balancing!$B$33*V$85),CombatantLevelAttributeMod)</f>
      </c>
      <c r="W88" s="1">
        <f>ATTACKDAMAGE(IF(ISEVEN(COLUMN()),$B88,$C88),W$85,INT(balancing!$B$43/balancing!$B$33*W$85),CombatantLevelAttributeMod)</f>
      </c>
    </row>
    <row r="89" spans="1:23" x14ac:dyDescent="0.25">
      <c r="A89" s="3">
        <f>'equipment-weapons'!A5</f>
      </c>
      <c r="B89" s="3">
        <f>'equipment-weapons'!F5</f>
      </c>
      <c r="C89" s="3">
        <f>'equipment-weapons'!G5</f>
      </c>
      <c r="D89" s="1">
        <f>ATTACKDAMAGE(IF(ISEVEN(COLUMN()),$B89,$C89),D$85,INT(balancing!$B$43/balancing!$B$33*D$85),CombatantLevelAttributeMod)</f>
      </c>
      <c r="E89" s="1">
        <f>ATTACKDAMAGE(IF(ISEVEN(COLUMN()),$B89,$C89),E$85,INT(balancing!$B$43/balancing!$B$33*E$85),CombatantLevelAttributeMod)</f>
      </c>
      <c r="F89" s="1">
        <f>ATTACKDAMAGE(IF(ISEVEN(COLUMN()),$B89,$C89),F$85,INT(balancing!$B$43/balancing!$B$33*F$85),CombatantLevelAttributeMod)</f>
      </c>
      <c r="G89" s="1">
        <f>ATTACKDAMAGE(IF(ISEVEN(COLUMN()),$B89,$C89),G$85,INT(balancing!$B$43/balancing!$B$33*G$85),CombatantLevelAttributeMod)</f>
      </c>
      <c r="H89" s="1">
        <f>ATTACKDAMAGE(IF(ISEVEN(COLUMN()),$B89,$C89),H$85,INT(balancing!$B$43/balancing!$B$33*H$85),CombatantLevelAttributeMod)</f>
      </c>
      <c r="I89" s="1">
        <f>ATTACKDAMAGE(IF(ISEVEN(COLUMN()),$B89,$C89),I$85,INT(balancing!$B$43/balancing!$B$33*I$85),CombatantLevelAttributeMod)</f>
      </c>
      <c r="J89" s="1">
        <f>ATTACKDAMAGE(IF(ISEVEN(COLUMN()),$B89,$C89),J$85,INT(balancing!$B$43/balancing!$B$33*J$85),CombatantLevelAttributeMod)</f>
      </c>
      <c r="K89" s="1">
        <f>ATTACKDAMAGE(IF(ISEVEN(COLUMN()),$B89,$C89),K$85,INT(balancing!$B$43/balancing!$B$33*K$85),CombatantLevelAttributeMod)</f>
      </c>
      <c r="L89" s="1">
        <f>ATTACKDAMAGE(IF(ISEVEN(COLUMN()),$B89,$C89),L$85,INT(balancing!$B$43/balancing!$B$33*L$85),CombatantLevelAttributeMod)</f>
      </c>
      <c r="M89" s="1">
        <f>ATTACKDAMAGE(IF(ISEVEN(COLUMN()),$B89,$C89),M$85,INT(balancing!$B$43/balancing!$B$33*M$85),CombatantLevelAttributeMod)</f>
      </c>
      <c r="N89" s="1">
        <f>ATTACKDAMAGE(IF(ISEVEN(COLUMN()),$B89,$C89),N$85,INT(balancing!$B$43/balancing!$B$33*N$85),CombatantLevelAttributeMod)</f>
      </c>
      <c r="O89" s="1">
        <f>ATTACKDAMAGE(IF(ISEVEN(COLUMN()),$B89,$C89),O$85,INT(balancing!$B$43/balancing!$B$33*O$85),CombatantLevelAttributeMod)</f>
      </c>
      <c r="P89" s="1">
        <f>ATTACKDAMAGE(IF(ISEVEN(COLUMN()),$B89,$C89),P$85,INT(balancing!$B$43/balancing!$B$33*P$85),CombatantLevelAttributeMod)</f>
      </c>
      <c r="Q89" s="1">
        <f>ATTACKDAMAGE(IF(ISEVEN(COLUMN()),$B89,$C89),Q$85,INT(balancing!$B$43/balancing!$B$33*Q$85),CombatantLevelAttributeMod)</f>
      </c>
      <c r="R89" s="1">
        <f>ATTACKDAMAGE(IF(ISEVEN(COLUMN()),$B89,$C89),R$85,INT(balancing!$B$43/balancing!$B$33*R$85),CombatantLevelAttributeMod)</f>
      </c>
      <c r="S89" s="1">
        <f>ATTACKDAMAGE(IF(ISEVEN(COLUMN()),$B89,$C89),S$85,INT(balancing!$B$43/balancing!$B$33*S$85),CombatantLevelAttributeMod)</f>
      </c>
      <c r="T89" s="1">
        <f>ATTACKDAMAGE(IF(ISEVEN(COLUMN()),$B89,$C89),T$85,INT(balancing!$B$43/balancing!$B$33*T$85),CombatantLevelAttributeMod)</f>
      </c>
      <c r="U89" s="1">
        <f>ATTACKDAMAGE(IF(ISEVEN(COLUMN()),$B89,$C89),U$85,INT(balancing!$B$43/balancing!$B$33*U$85),CombatantLevelAttributeMod)</f>
      </c>
      <c r="V89" s="1">
        <f>ATTACKDAMAGE(IF(ISEVEN(COLUMN()),$B89,$C89),V$85,INT(balancing!$B$43/balancing!$B$33*V$85),CombatantLevelAttributeMod)</f>
      </c>
      <c r="W89" s="1">
        <f>ATTACKDAMAGE(IF(ISEVEN(COLUMN()),$B89,$C89),W$85,INT(balancing!$B$43/balancing!$B$33*W$85),CombatantLevelAttributeMod)</f>
      </c>
    </row>
    <row r="90" spans="1:23" x14ac:dyDescent="0.25">
      <c r="A90" s="3">
        <f>'equipment-weapons'!A6</f>
      </c>
      <c r="B90" s="3">
        <f>'equipment-weapons'!F6</f>
      </c>
      <c r="C90" s="3">
        <f>'equipment-weapons'!G6</f>
      </c>
      <c r="D90" s="1">
        <f>ATTACKDAMAGE(IF(ISEVEN(COLUMN()),$B90,$C90),D$85,INT(balancing!$B$43/balancing!$B$33*D$85),CombatantLevelAttributeMod)</f>
      </c>
      <c r="E90" s="1">
        <f>ATTACKDAMAGE(IF(ISEVEN(COLUMN()),$B90,$C90),E$85,INT(balancing!$B$43/balancing!$B$33*E$85),CombatantLevelAttributeMod)</f>
      </c>
      <c r="F90" s="1">
        <f>ATTACKDAMAGE(IF(ISEVEN(COLUMN()),$B90,$C90),F$85,INT(balancing!$B$43/balancing!$B$33*F$85),CombatantLevelAttributeMod)</f>
      </c>
      <c r="G90" s="1">
        <f>ATTACKDAMAGE(IF(ISEVEN(COLUMN()),$B90,$C90),G$85,INT(balancing!$B$43/balancing!$B$33*G$85),CombatantLevelAttributeMod)</f>
      </c>
      <c r="H90" s="1">
        <f>ATTACKDAMAGE(IF(ISEVEN(COLUMN()),$B90,$C90),H$85,INT(balancing!$B$43/balancing!$B$33*H$85),CombatantLevelAttributeMod)</f>
      </c>
      <c r="I90" s="1">
        <f>ATTACKDAMAGE(IF(ISEVEN(COLUMN()),$B90,$C90),I$85,INT(balancing!$B$43/balancing!$B$33*I$85),CombatantLevelAttributeMod)</f>
      </c>
      <c r="J90" s="1">
        <f>ATTACKDAMAGE(IF(ISEVEN(COLUMN()),$B90,$C90),J$85,INT(balancing!$B$43/balancing!$B$33*J$85),CombatantLevelAttributeMod)</f>
      </c>
      <c r="K90" s="1">
        <f>ATTACKDAMAGE(IF(ISEVEN(COLUMN()),$B90,$C90),K$85,INT(balancing!$B$43/balancing!$B$33*K$85),CombatantLevelAttributeMod)</f>
      </c>
      <c r="L90" s="1">
        <f>ATTACKDAMAGE(IF(ISEVEN(COLUMN()),$B90,$C90),L$85,INT(balancing!$B$43/balancing!$B$33*L$85),CombatantLevelAttributeMod)</f>
      </c>
      <c r="M90" s="1">
        <f>ATTACKDAMAGE(IF(ISEVEN(COLUMN()),$B90,$C90),M$85,INT(balancing!$B$43/balancing!$B$33*M$85),CombatantLevelAttributeMod)</f>
      </c>
      <c r="N90" s="1">
        <f>ATTACKDAMAGE(IF(ISEVEN(COLUMN()),$B90,$C90),N$85,INT(balancing!$B$43/balancing!$B$33*N$85),CombatantLevelAttributeMod)</f>
      </c>
      <c r="O90" s="1">
        <f>ATTACKDAMAGE(IF(ISEVEN(COLUMN()),$B90,$C90),O$85,INT(balancing!$B$43/balancing!$B$33*O$85),CombatantLevelAttributeMod)</f>
      </c>
      <c r="P90" s="1">
        <f>ATTACKDAMAGE(IF(ISEVEN(COLUMN()),$B90,$C90),P$85,INT(balancing!$B$43/balancing!$B$33*P$85),CombatantLevelAttributeMod)</f>
      </c>
      <c r="Q90" s="1">
        <f>ATTACKDAMAGE(IF(ISEVEN(COLUMN()),$B90,$C90),Q$85,INT(balancing!$B$43/balancing!$B$33*Q$85),CombatantLevelAttributeMod)</f>
      </c>
      <c r="R90" s="1">
        <f>ATTACKDAMAGE(IF(ISEVEN(COLUMN()),$B90,$C90),R$85,INT(balancing!$B$43/balancing!$B$33*R$85),CombatantLevelAttributeMod)</f>
      </c>
      <c r="S90" s="1">
        <f>ATTACKDAMAGE(IF(ISEVEN(COLUMN()),$B90,$C90),S$85,INT(balancing!$B$43/balancing!$B$33*S$85),CombatantLevelAttributeMod)</f>
      </c>
      <c r="T90" s="1">
        <f>ATTACKDAMAGE(IF(ISEVEN(COLUMN()),$B90,$C90),T$85,INT(balancing!$B$43/balancing!$B$33*T$85),CombatantLevelAttributeMod)</f>
      </c>
      <c r="U90" s="1">
        <f>ATTACKDAMAGE(IF(ISEVEN(COLUMN()),$B90,$C90),U$85,INT(balancing!$B$43/balancing!$B$33*U$85),CombatantLevelAttributeMod)</f>
      </c>
      <c r="V90" s="1">
        <f>ATTACKDAMAGE(IF(ISEVEN(COLUMN()),$B90,$C90),V$85,INT(balancing!$B$43/balancing!$B$33*V$85),CombatantLevelAttributeMod)</f>
      </c>
      <c r="W90" s="1">
        <f>ATTACKDAMAGE(IF(ISEVEN(COLUMN()),$B90,$C90),W$85,INT(balancing!$B$43/balancing!$B$33*W$85),CombatantLevelAttributeMod)</f>
      </c>
    </row>
    <row r="91" spans="1:23" x14ac:dyDescent="0.25">
      <c r="A91" s="3">
        <f>'equipment-weapons'!A7</f>
      </c>
      <c r="B91" s="3">
        <f>'equipment-weapons'!F7</f>
      </c>
      <c r="C91" s="3">
        <f>'equipment-weapons'!G7</f>
      </c>
      <c r="D91" s="1">
        <f>ATTACKDAMAGE(IF(ISEVEN(COLUMN()),$B91,$C91),D$85,INT(balancing!$B$43/balancing!$B$33*D$85),CombatantLevelAttributeMod)</f>
      </c>
      <c r="E91" s="1">
        <f>ATTACKDAMAGE(IF(ISEVEN(COLUMN()),$B91,$C91),E$85,INT(balancing!$B$43/balancing!$B$33*E$85),CombatantLevelAttributeMod)</f>
      </c>
      <c r="F91" s="1">
        <f>ATTACKDAMAGE(IF(ISEVEN(COLUMN()),$B91,$C91),F$85,INT(balancing!$B$43/balancing!$B$33*F$85),CombatantLevelAttributeMod)</f>
      </c>
      <c r="G91" s="1">
        <f>ATTACKDAMAGE(IF(ISEVEN(COLUMN()),$B91,$C91),G$85,INT(balancing!$B$43/balancing!$B$33*G$85),CombatantLevelAttributeMod)</f>
      </c>
      <c r="H91" s="1">
        <f>ATTACKDAMAGE(IF(ISEVEN(COLUMN()),$B91,$C91),H$85,INT(balancing!$B$43/balancing!$B$33*H$85),CombatantLevelAttributeMod)</f>
      </c>
      <c r="I91" s="1">
        <f>ATTACKDAMAGE(IF(ISEVEN(COLUMN()),$B91,$C91),I$85,INT(balancing!$B$43/balancing!$B$33*I$85),CombatantLevelAttributeMod)</f>
      </c>
      <c r="J91" s="1">
        <f>ATTACKDAMAGE(IF(ISEVEN(COLUMN()),$B91,$C91),J$85,INT(balancing!$B$43/balancing!$B$33*J$85),CombatantLevelAttributeMod)</f>
      </c>
      <c r="K91" s="1">
        <f>ATTACKDAMAGE(IF(ISEVEN(COLUMN()),$B91,$C91),K$85,INT(balancing!$B$43/balancing!$B$33*K$85),CombatantLevelAttributeMod)</f>
      </c>
      <c r="L91" s="1">
        <f>ATTACKDAMAGE(IF(ISEVEN(COLUMN()),$B91,$C91),L$85,INT(balancing!$B$43/balancing!$B$33*L$85),CombatantLevelAttributeMod)</f>
      </c>
      <c r="M91" s="1">
        <f>ATTACKDAMAGE(IF(ISEVEN(COLUMN()),$B91,$C91),M$85,INT(balancing!$B$43/balancing!$B$33*M$85),CombatantLevelAttributeMod)</f>
      </c>
      <c r="N91" s="1">
        <f>ATTACKDAMAGE(IF(ISEVEN(COLUMN()),$B91,$C91),N$85,INT(balancing!$B$43/balancing!$B$33*N$85),CombatantLevelAttributeMod)</f>
      </c>
      <c r="O91" s="1">
        <f>ATTACKDAMAGE(IF(ISEVEN(COLUMN()),$B91,$C91),O$85,INT(balancing!$B$43/balancing!$B$33*O$85),CombatantLevelAttributeMod)</f>
      </c>
      <c r="P91" s="1">
        <f>ATTACKDAMAGE(IF(ISEVEN(COLUMN()),$B91,$C91),P$85,INT(balancing!$B$43/balancing!$B$33*P$85),CombatantLevelAttributeMod)</f>
      </c>
      <c r="Q91" s="1">
        <f>ATTACKDAMAGE(IF(ISEVEN(COLUMN()),$B91,$C91),Q$85,INT(balancing!$B$43/balancing!$B$33*Q$85),CombatantLevelAttributeMod)</f>
      </c>
      <c r="R91" s="1">
        <f>ATTACKDAMAGE(IF(ISEVEN(COLUMN()),$B91,$C91),R$85,INT(balancing!$B$43/balancing!$B$33*R$85),CombatantLevelAttributeMod)</f>
      </c>
      <c r="S91" s="1">
        <f>ATTACKDAMAGE(IF(ISEVEN(COLUMN()),$B91,$C91),S$85,INT(balancing!$B$43/balancing!$B$33*S$85),CombatantLevelAttributeMod)</f>
      </c>
      <c r="T91" s="1">
        <f>ATTACKDAMAGE(IF(ISEVEN(COLUMN()),$B91,$C91),T$85,INT(balancing!$B$43/balancing!$B$33*T$85),CombatantLevelAttributeMod)</f>
      </c>
      <c r="U91" s="1">
        <f>ATTACKDAMAGE(IF(ISEVEN(COLUMN()),$B91,$C91),U$85,INT(balancing!$B$43/balancing!$B$33*U$85),CombatantLevelAttributeMod)</f>
      </c>
      <c r="V91" s="1">
        <f>ATTACKDAMAGE(IF(ISEVEN(COLUMN()),$B91,$C91),V$85,INT(balancing!$B$43/balancing!$B$33*V$85),CombatantLevelAttributeMod)</f>
      </c>
      <c r="W91" s="1">
        <f>ATTACKDAMAGE(IF(ISEVEN(COLUMN()),$B91,$C91),W$85,INT(balancing!$B$43/balancing!$B$33*W$85),CombatantLevelAttributeMod)</f>
      </c>
    </row>
    <row r="92" spans="1:23" x14ac:dyDescent="0.25">
      <c r="A92" s="3">
        <f>'equipment-weapons'!A8</f>
      </c>
      <c r="B92" s="3">
        <f>'equipment-weapons'!F8</f>
      </c>
      <c r="C92" s="3">
        <f>'equipment-weapons'!G8</f>
      </c>
      <c r="D92" s="1">
        <f>ATTACKDAMAGE(IF(ISEVEN(COLUMN()),$B92,$C92),D$85,INT(balancing!$B$43/balancing!$B$33*D$85),CombatantLevelAttributeMod)</f>
      </c>
      <c r="E92" s="1">
        <f>ATTACKDAMAGE(IF(ISEVEN(COLUMN()),$B92,$C92),E$85,INT(balancing!$B$43/balancing!$B$33*E$85),CombatantLevelAttributeMod)</f>
      </c>
      <c r="F92" s="1">
        <f>ATTACKDAMAGE(IF(ISEVEN(COLUMN()),$B92,$C92),F$85,INT(balancing!$B$43/balancing!$B$33*F$85),CombatantLevelAttributeMod)</f>
      </c>
      <c r="G92" s="1">
        <f>ATTACKDAMAGE(IF(ISEVEN(COLUMN()),$B92,$C92),G$85,INT(balancing!$B$43/balancing!$B$33*G$85),CombatantLevelAttributeMod)</f>
      </c>
      <c r="H92" s="1">
        <f>ATTACKDAMAGE(IF(ISEVEN(COLUMN()),$B92,$C92),H$85,INT(balancing!$B$43/balancing!$B$33*H$85),CombatantLevelAttributeMod)</f>
      </c>
      <c r="I92" s="1">
        <f>ATTACKDAMAGE(IF(ISEVEN(COLUMN()),$B92,$C92),I$85,INT(balancing!$B$43/balancing!$B$33*I$85),CombatantLevelAttributeMod)</f>
      </c>
      <c r="J92" s="1">
        <f>ATTACKDAMAGE(IF(ISEVEN(COLUMN()),$B92,$C92),J$85,INT(balancing!$B$43/balancing!$B$33*J$85),CombatantLevelAttributeMod)</f>
      </c>
      <c r="K92" s="1">
        <f>ATTACKDAMAGE(IF(ISEVEN(COLUMN()),$B92,$C92),K$85,INT(balancing!$B$43/balancing!$B$33*K$85),CombatantLevelAttributeMod)</f>
      </c>
      <c r="L92" s="1">
        <f>ATTACKDAMAGE(IF(ISEVEN(COLUMN()),$B92,$C92),L$85,INT(balancing!$B$43/balancing!$B$33*L$85),CombatantLevelAttributeMod)</f>
      </c>
      <c r="M92" s="1">
        <f>ATTACKDAMAGE(IF(ISEVEN(COLUMN()),$B92,$C92),M$85,INT(balancing!$B$43/balancing!$B$33*M$85),CombatantLevelAttributeMod)</f>
      </c>
      <c r="N92" s="1">
        <f>ATTACKDAMAGE(IF(ISEVEN(COLUMN()),$B92,$C92),N$85,INT(balancing!$B$43/balancing!$B$33*N$85),CombatantLevelAttributeMod)</f>
      </c>
      <c r="O92" s="1">
        <f>ATTACKDAMAGE(IF(ISEVEN(COLUMN()),$B92,$C92),O$85,INT(balancing!$B$43/balancing!$B$33*O$85),CombatantLevelAttributeMod)</f>
      </c>
      <c r="P92" s="1">
        <f>ATTACKDAMAGE(IF(ISEVEN(COLUMN()),$B92,$C92),P$85,INT(balancing!$B$43/balancing!$B$33*P$85),CombatantLevelAttributeMod)</f>
      </c>
      <c r="Q92" s="1">
        <f>ATTACKDAMAGE(IF(ISEVEN(COLUMN()),$B92,$C92),Q$85,INT(balancing!$B$43/balancing!$B$33*Q$85),CombatantLevelAttributeMod)</f>
      </c>
      <c r="R92" s="1">
        <f>ATTACKDAMAGE(IF(ISEVEN(COLUMN()),$B92,$C92),R$85,INT(balancing!$B$43/balancing!$B$33*R$85),CombatantLevelAttributeMod)</f>
      </c>
      <c r="S92" s="1">
        <f>ATTACKDAMAGE(IF(ISEVEN(COLUMN()),$B92,$C92),S$85,INT(balancing!$B$43/balancing!$B$33*S$85),CombatantLevelAttributeMod)</f>
      </c>
      <c r="T92" s="1">
        <f>ATTACKDAMAGE(IF(ISEVEN(COLUMN()),$B92,$C92),T$85,INT(balancing!$B$43/balancing!$B$33*T$85),CombatantLevelAttributeMod)</f>
      </c>
      <c r="U92" s="1">
        <f>ATTACKDAMAGE(IF(ISEVEN(COLUMN()),$B92,$C92),U$85,INT(balancing!$B$43/balancing!$B$33*U$85),CombatantLevelAttributeMod)</f>
      </c>
      <c r="V92" s="1">
        <f>ATTACKDAMAGE(IF(ISEVEN(COLUMN()),$B92,$C92),V$85,INT(balancing!$B$43/balancing!$B$33*V$85),CombatantLevelAttributeMod)</f>
      </c>
      <c r="W92" s="1">
        <f>ATTACKDAMAGE(IF(ISEVEN(COLUMN()),$B92,$C92),W$85,INT(balancing!$B$43/balancing!$B$33*W$85),CombatantLevelAttributeMod)</f>
      </c>
    </row>
    <row r="93" spans="1:23" x14ac:dyDescent="0.25">
      <c r="A93" s="3">
        <f>'equipment-weapons'!A9</f>
      </c>
      <c r="B93" s="3">
        <f>'equipment-weapons'!F9</f>
      </c>
      <c r="C93" s="3">
        <f>'equipment-weapons'!G9</f>
      </c>
      <c r="D93" s="1">
        <f>ATTACKDAMAGE(IF(ISEVEN(COLUMN()),$B93,$C93),D$85,INT(balancing!$B$43/balancing!$B$33*D$85),CombatantLevelAttributeMod)</f>
      </c>
      <c r="E93" s="1">
        <f>ATTACKDAMAGE(IF(ISEVEN(COLUMN()),$B93,$C93),E$85,INT(balancing!$B$43/balancing!$B$33*E$85),CombatantLevelAttributeMod)</f>
      </c>
      <c r="F93" s="1">
        <f>ATTACKDAMAGE(IF(ISEVEN(COLUMN()),$B93,$C93),F$85,INT(balancing!$B$43/balancing!$B$33*F$85),CombatantLevelAttributeMod)</f>
      </c>
      <c r="G93" s="1">
        <f>ATTACKDAMAGE(IF(ISEVEN(COLUMN()),$B93,$C93),G$85,INT(balancing!$B$43/balancing!$B$33*G$85),CombatantLevelAttributeMod)</f>
      </c>
      <c r="H93" s="1">
        <f>ATTACKDAMAGE(IF(ISEVEN(COLUMN()),$B93,$C93),H$85,INT(balancing!$B$43/balancing!$B$33*H$85),CombatantLevelAttributeMod)</f>
      </c>
      <c r="I93" s="1">
        <f>ATTACKDAMAGE(IF(ISEVEN(COLUMN()),$B93,$C93),I$85,INT(balancing!$B$43/balancing!$B$33*I$85),CombatantLevelAttributeMod)</f>
      </c>
      <c r="J93" s="1">
        <f>ATTACKDAMAGE(IF(ISEVEN(COLUMN()),$B93,$C93),J$85,INT(balancing!$B$43/balancing!$B$33*J$85),CombatantLevelAttributeMod)</f>
      </c>
      <c r="K93" s="1">
        <f>ATTACKDAMAGE(IF(ISEVEN(COLUMN()),$B93,$C93),K$85,INT(balancing!$B$43/balancing!$B$33*K$85),CombatantLevelAttributeMod)</f>
      </c>
      <c r="L93" s="1">
        <f>ATTACKDAMAGE(IF(ISEVEN(COLUMN()),$B93,$C93),L$85,INT(balancing!$B$43/balancing!$B$33*L$85),CombatantLevelAttributeMod)</f>
      </c>
      <c r="M93" s="1">
        <f>ATTACKDAMAGE(IF(ISEVEN(COLUMN()),$B93,$C93),M$85,INT(balancing!$B$43/balancing!$B$33*M$85),CombatantLevelAttributeMod)</f>
      </c>
      <c r="N93" s="1">
        <f>ATTACKDAMAGE(IF(ISEVEN(COLUMN()),$B93,$C93),N$85,INT(balancing!$B$43/balancing!$B$33*N$85),CombatantLevelAttributeMod)</f>
      </c>
      <c r="O93" s="1">
        <f>ATTACKDAMAGE(IF(ISEVEN(COLUMN()),$B93,$C93),O$85,INT(balancing!$B$43/balancing!$B$33*O$85),CombatantLevelAttributeMod)</f>
      </c>
      <c r="P93" s="1">
        <f>ATTACKDAMAGE(IF(ISEVEN(COLUMN()),$B93,$C93),P$85,INT(balancing!$B$43/balancing!$B$33*P$85),CombatantLevelAttributeMod)</f>
      </c>
      <c r="Q93" s="1">
        <f>ATTACKDAMAGE(IF(ISEVEN(COLUMN()),$B93,$C93),Q$85,INT(balancing!$B$43/balancing!$B$33*Q$85),CombatantLevelAttributeMod)</f>
      </c>
      <c r="R93" s="1">
        <f>ATTACKDAMAGE(IF(ISEVEN(COLUMN()),$B93,$C93),R$85,INT(balancing!$B$43/balancing!$B$33*R$85),CombatantLevelAttributeMod)</f>
      </c>
      <c r="S93" s="1">
        <f>ATTACKDAMAGE(IF(ISEVEN(COLUMN()),$B93,$C93),S$85,INT(balancing!$B$43/balancing!$B$33*S$85),CombatantLevelAttributeMod)</f>
      </c>
      <c r="T93" s="1">
        <f>ATTACKDAMAGE(IF(ISEVEN(COLUMN()),$B93,$C93),T$85,INT(balancing!$B$43/balancing!$B$33*T$85),CombatantLevelAttributeMod)</f>
      </c>
      <c r="U93" s="1">
        <f>ATTACKDAMAGE(IF(ISEVEN(COLUMN()),$B93,$C93),U$85,INT(balancing!$B$43/balancing!$B$33*U$85),CombatantLevelAttributeMod)</f>
      </c>
      <c r="V93" s="1">
        <f>ATTACKDAMAGE(IF(ISEVEN(COLUMN()),$B93,$C93),V$85,INT(balancing!$B$43/balancing!$B$33*V$85),CombatantLevelAttributeMod)</f>
      </c>
      <c r="W93" s="1">
        <f>ATTACKDAMAGE(IF(ISEVEN(COLUMN()),$B93,$C93),W$85,INT(balancing!$B$43/balancing!$B$33*W$85),CombatantLevelAttributeMod)</f>
      </c>
    </row>
    <row r="94" spans="1:23" x14ac:dyDescent="0.25">
      <c r="A94" s="3">
        <f>'equipment-weapons'!A10</f>
      </c>
      <c r="B94" s="3">
        <f>'equipment-weapons'!F10</f>
      </c>
      <c r="C94" s="3">
        <f>'equipment-weapons'!G10</f>
      </c>
      <c r="D94" s="1">
        <f>ATTACKDAMAGE(IF(ISEVEN(COLUMN()),$B94,$C94),D$85,INT(balancing!$B$43/balancing!$B$33*D$85),CombatantLevelAttributeMod)</f>
      </c>
      <c r="E94" s="1">
        <f>ATTACKDAMAGE(IF(ISEVEN(COLUMN()),$B94,$C94),E$85,INT(balancing!$B$43/balancing!$B$33*E$85),CombatantLevelAttributeMod)</f>
      </c>
      <c r="F94" s="1">
        <f>ATTACKDAMAGE(IF(ISEVEN(COLUMN()),$B94,$C94),F$85,INT(balancing!$B$43/balancing!$B$33*F$85),CombatantLevelAttributeMod)</f>
      </c>
      <c r="G94" s="1">
        <f>ATTACKDAMAGE(IF(ISEVEN(COLUMN()),$B94,$C94),G$85,INT(balancing!$B$43/balancing!$B$33*G$85),CombatantLevelAttributeMod)</f>
      </c>
      <c r="H94" s="1">
        <f>ATTACKDAMAGE(IF(ISEVEN(COLUMN()),$B94,$C94),H$85,INT(balancing!$B$43/balancing!$B$33*H$85),CombatantLevelAttributeMod)</f>
      </c>
      <c r="I94" s="1">
        <f>ATTACKDAMAGE(IF(ISEVEN(COLUMN()),$B94,$C94),I$85,INT(balancing!$B$43/balancing!$B$33*I$85),CombatantLevelAttributeMod)</f>
      </c>
      <c r="J94" s="1">
        <f>ATTACKDAMAGE(IF(ISEVEN(COLUMN()),$B94,$C94),J$85,INT(balancing!$B$43/balancing!$B$33*J$85),CombatantLevelAttributeMod)</f>
      </c>
      <c r="K94" s="1">
        <f>ATTACKDAMAGE(IF(ISEVEN(COLUMN()),$B94,$C94),K$85,INT(balancing!$B$43/balancing!$B$33*K$85),CombatantLevelAttributeMod)</f>
      </c>
      <c r="L94" s="1">
        <f>ATTACKDAMAGE(IF(ISEVEN(COLUMN()),$B94,$C94),L$85,INT(balancing!$B$43/balancing!$B$33*L$85),CombatantLevelAttributeMod)</f>
      </c>
      <c r="M94" s="1">
        <f>ATTACKDAMAGE(IF(ISEVEN(COLUMN()),$B94,$C94),M$85,INT(balancing!$B$43/balancing!$B$33*M$85),CombatantLevelAttributeMod)</f>
      </c>
      <c r="N94" s="1">
        <f>ATTACKDAMAGE(IF(ISEVEN(COLUMN()),$B94,$C94),N$85,INT(balancing!$B$43/balancing!$B$33*N$85),CombatantLevelAttributeMod)</f>
      </c>
      <c r="O94" s="1">
        <f>ATTACKDAMAGE(IF(ISEVEN(COLUMN()),$B94,$C94),O$85,INT(balancing!$B$43/balancing!$B$33*O$85),CombatantLevelAttributeMod)</f>
      </c>
      <c r="P94" s="1">
        <f>ATTACKDAMAGE(IF(ISEVEN(COLUMN()),$B94,$C94),P$85,INT(balancing!$B$43/balancing!$B$33*P$85),CombatantLevelAttributeMod)</f>
      </c>
      <c r="Q94" s="1">
        <f>ATTACKDAMAGE(IF(ISEVEN(COLUMN()),$B94,$C94),Q$85,INT(balancing!$B$43/balancing!$B$33*Q$85),CombatantLevelAttributeMod)</f>
      </c>
      <c r="R94" s="1">
        <f>ATTACKDAMAGE(IF(ISEVEN(COLUMN()),$B94,$C94),R$85,INT(balancing!$B$43/balancing!$B$33*R$85),CombatantLevelAttributeMod)</f>
      </c>
      <c r="S94" s="1">
        <f>ATTACKDAMAGE(IF(ISEVEN(COLUMN()),$B94,$C94),S$85,INT(balancing!$B$43/balancing!$B$33*S$85),CombatantLevelAttributeMod)</f>
      </c>
      <c r="T94" s="1">
        <f>ATTACKDAMAGE(IF(ISEVEN(COLUMN()),$B94,$C94),T$85,INT(balancing!$B$43/balancing!$B$33*T$85),CombatantLevelAttributeMod)</f>
      </c>
      <c r="U94" s="1">
        <f>ATTACKDAMAGE(IF(ISEVEN(COLUMN()),$B94,$C94),U$85,INT(balancing!$B$43/balancing!$B$33*U$85),CombatantLevelAttributeMod)</f>
      </c>
      <c r="V94" s="1">
        <f>ATTACKDAMAGE(IF(ISEVEN(COLUMN()),$B94,$C94),V$85,INT(balancing!$B$43/balancing!$B$33*V$85),CombatantLevelAttributeMod)</f>
      </c>
      <c r="W94" s="1">
        <f>ATTACKDAMAGE(IF(ISEVEN(COLUMN()),$B94,$C94),W$85,INT(balancing!$B$43/balancing!$B$33*W$85),CombatantLevelAttributeMod)</f>
      </c>
    </row>
    <row r="95" spans="1:23" x14ac:dyDescent="0.25">
      <c r="A95" s="3">
        <f>'equipment-weapons'!A11</f>
      </c>
      <c r="B95" s="3">
        <f>'equipment-weapons'!F11</f>
      </c>
      <c r="C95" s="3">
        <f>'equipment-weapons'!G11</f>
      </c>
      <c r="D95" s="1">
        <f>ATTACKDAMAGE(IF(ISEVEN(COLUMN()),$B95,$C95),D$85,INT(balancing!$B$43/balancing!$B$33*D$85),CombatantLevelAttributeMod)</f>
      </c>
      <c r="E95" s="1">
        <f>ATTACKDAMAGE(IF(ISEVEN(COLUMN()),$B95,$C95),E$85,INT(balancing!$B$43/balancing!$B$33*E$85),CombatantLevelAttributeMod)</f>
      </c>
      <c r="F95" s="1">
        <f>ATTACKDAMAGE(IF(ISEVEN(COLUMN()),$B95,$C95),F$85,INT(balancing!$B$43/balancing!$B$33*F$85),CombatantLevelAttributeMod)</f>
      </c>
      <c r="G95" s="1">
        <f>ATTACKDAMAGE(IF(ISEVEN(COLUMN()),$B95,$C95),G$85,INT(balancing!$B$43/balancing!$B$33*G$85),CombatantLevelAttributeMod)</f>
      </c>
      <c r="H95" s="1">
        <f>ATTACKDAMAGE(IF(ISEVEN(COLUMN()),$B95,$C95),H$85,INT(balancing!$B$43/balancing!$B$33*H$85),CombatantLevelAttributeMod)</f>
      </c>
      <c r="I95" s="1">
        <f>ATTACKDAMAGE(IF(ISEVEN(COLUMN()),$B95,$C95),I$85,INT(balancing!$B$43/balancing!$B$33*I$85),CombatantLevelAttributeMod)</f>
      </c>
      <c r="J95" s="1">
        <f>ATTACKDAMAGE(IF(ISEVEN(COLUMN()),$B95,$C95),J$85,INT(balancing!$B$43/balancing!$B$33*J$85),CombatantLevelAttributeMod)</f>
      </c>
      <c r="K95" s="1">
        <f>ATTACKDAMAGE(IF(ISEVEN(COLUMN()),$B95,$C95),K$85,INT(balancing!$B$43/balancing!$B$33*K$85),CombatantLevelAttributeMod)</f>
      </c>
      <c r="L95" s="1">
        <f>ATTACKDAMAGE(IF(ISEVEN(COLUMN()),$B95,$C95),L$85,INT(balancing!$B$43/balancing!$B$33*L$85),CombatantLevelAttributeMod)</f>
      </c>
      <c r="M95" s="1">
        <f>ATTACKDAMAGE(IF(ISEVEN(COLUMN()),$B95,$C95),M$85,INT(balancing!$B$43/balancing!$B$33*M$85),CombatantLevelAttributeMod)</f>
      </c>
      <c r="N95" s="1">
        <f>ATTACKDAMAGE(IF(ISEVEN(COLUMN()),$B95,$C95),N$85,INT(balancing!$B$43/balancing!$B$33*N$85),CombatantLevelAttributeMod)</f>
      </c>
      <c r="O95" s="1">
        <f>ATTACKDAMAGE(IF(ISEVEN(COLUMN()),$B95,$C95),O$85,INT(balancing!$B$43/balancing!$B$33*O$85),CombatantLevelAttributeMod)</f>
      </c>
      <c r="P95" s="1">
        <f>ATTACKDAMAGE(IF(ISEVEN(COLUMN()),$B95,$C95),P$85,INT(balancing!$B$43/balancing!$B$33*P$85),CombatantLevelAttributeMod)</f>
      </c>
      <c r="Q95" s="1">
        <f>ATTACKDAMAGE(IF(ISEVEN(COLUMN()),$B95,$C95),Q$85,INT(balancing!$B$43/balancing!$B$33*Q$85),CombatantLevelAttributeMod)</f>
      </c>
      <c r="R95" s="1">
        <f>ATTACKDAMAGE(IF(ISEVEN(COLUMN()),$B95,$C95),R$85,INT(balancing!$B$43/balancing!$B$33*R$85),CombatantLevelAttributeMod)</f>
      </c>
      <c r="S95" s="1">
        <f>ATTACKDAMAGE(IF(ISEVEN(COLUMN()),$B95,$C95),S$85,INT(balancing!$B$43/balancing!$B$33*S$85),CombatantLevelAttributeMod)</f>
      </c>
      <c r="T95" s="1">
        <f>ATTACKDAMAGE(IF(ISEVEN(COLUMN()),$B95,$C95),T$85,INT(balancing!$B$43/balancing!$B$33*T$85),CombatantLevelAttributeMod)</f>
      </c>
      <c r="U95" s="1">
        <f>ATTACKDAMAGE(IF(ISEVEN(COLUMN()),$B95,$C95),U$85,INT(balancing!$B$43/balancing!$B$33*U$85),CombatantLevelAttributeMod)</f>
      </c>
      <c r="V95" s="1">
        <f>ATTACKDAMAGE(IF(ISEVEN(COLUMN()),$B95,$C95),V$85,INT(balancing!$B$43/balancing!$B$33*V$85),CombatantLevelAttributeMod)</f>
      </c>
      <c r="W95" s="1">
        <f>ATTACKDAMAGE(IF(ISEVEN(COLUMN()),$B95,$C95),W$85,INT(balancing!$B$43/balancing!$B$33*W$85),CombatantLevelAttributeMod)</f>
      </c>
    </row>
    <row r="96" spans="1:23" x14ac:dyDescent="0.25">
      <c r="A96" s="3">
        <f>'equipment-weapons'!A12</f>
      </c>
      <c r="B96" s="3">
        <f>'equipment-weapons'!F12</f>
      </c>
      <c r="C96" s="3">
        <f>'equipment-weapons'!G12</f>
      </c>
      <c r="D96" s="1">
        <f>ATTACKDAMAGE(IF(ISEVEN(COLUMN()),$B96,$C96),D$85,INT(balancing!$B$43/balancing!$B$33*D$85),CombatantLevelAttributeMod)</f>
      </c>
      <c r="E96" s="1">
        <f>ATTACKDAMAGE(IF(ISEVEN(COLUMN()),$B96,$C96),E$85,INT(balancing!$B$43/balancing!$B$33*E$85),CombatantLevelAttributeMod)</f>
      </c>
      <c r="F96" s="1">
        <f>ATTACKDAMAGE(IF(ISEVEN(COLUMN()),$B96,$C96),F$85,INT(balancing!$B$43/balancing!$B$33*F$85),CombatantLevelAttributeMod)</f>
      </c>
      <c r="G96" s="1">
        <f>ATTACKDAMAGE(IF(ISEVEN(COLUMN()),$B96,$C96),G$85,INT(balancing!$B$43/balancing!$B$33*G$85),CombatantLevelAttributeMod)</f>
      </c>
      <c r="H96" s="1">
        <f>ATTACKDAMAGE(IF(ISEVEN(COLUMN()),$B96,$C96),H$85,INT(balancing!$B$43/balancing!$B$33*H$85),CombatantLevelAttributeMod)</f>
      </c>
      <c r="I96" s="1">
        <f>ATTACKDAMAGE(IF(ISEVEN(COLUMN()),$B96,$C96),I$85,INT(balancing!$B$43/balancing!$B$33*I$85),CombatantLevelAttributeMod)</f>
      </c>
      <c r="J96" s="1">
        <f>ATTACKDAMAGE(IF(ISEVEN(COLUMN()),$B96,$C96),J$85,INT(balancing!$B$43/balancing!$B$33*J$85),CombatantLevelAttributeMod)</f>
      </c>
      <c r="K96" s="1">
        <f>ATTACKDAMAGE(IF(ISEVEN(COLUMN()),$B96,$C96),K$85,INT(balancing!$B$43/balancing!$B$33*K$85),CombatantLevelAttributeMod)</f>
      </c>
      <c r="L96" s="1">
        <f>ATTACKDAMAGE(IF(ISEVEN(COLUMN()),$B96,$C96),L$85,INT(balancing!$B$43/balancing!$B$33*L$85),CombatantLevelAttributeMod)</f>
      </c>
      <c r="M96" s="1">
        <f>ATTACKDAMAGE(IF(ISEVEN(COLUMN()),$B96,$C96),M$85,INT(balancing!$B$43/balancing!$B$33*M$85),CombatantLevelAttributeMod)</f>
      </c>
      <c r="N96" s="1">
        <f>ATTACKDAMAGE(IF(ISEVEN(COLUMN()),$B96,$C96),N$85,INT(balancing!$B$43/balancing!$B$33*N$85),CombatantLevelAttributeMod)</f>
      </c>
      <c r="O96" s="1">
        <f>ATTACKDAMAGE(IF(ISEVEN(COLUMN()),$B96,$C96),O$85,INT(balancing!$B$43/balancing!$B$33*O$85),CombatantLevelAttributeMod)</f>
      </c>
      <c r="P96" s="1">
        <f>ATTACKDAMAGE(IF(ISEVEN(COLUMN()),$B96,$C96),P$85,INT(balancing!$B$43/balancing!$B$33*P$85),CombatantLevelAttributeMod)</f>
      </c>
      <c r="Q96" s="1">
        <f>ATTACKDAMAGE(IF(ISEVEN(COLUMN()),$B96,$C96),Q$85,INT(balancing!$B$43/balancing!$B$33*Q$85),CombatantLevelAttributeMod)</f>
      </c>
      <c r="R96" s="1">
        <f>ATTACKDAMAGE(IF(ISEVEN(COLUMN()),$B96,$C96),R$85,INT(balancing!$B$43/balancing!$B$33*R$85),CombatantLevelAttributeMod)</f>
      </c>
      <c r="S96" s="1">
        <f>ATTACKDAMAGE(IF(ISEVEN(COLUMN()),$B96,$C96),S$85,INT(balancing!$B$43/balancing!$B$33*S$85),CombatantLevelAttributeMod)</f>
      </c>
      <c r="T96" s="1">
        <f>ATTACKDAMAGE(IF(ISEVEN(COLUMN()),$B96,$C96),T$85,INT(balancing!$B$43/balancing!$B$33*T$85),CombatantLevelAttributeMod)</f>
      </c>
      <c r="U96" s="1">
        <f>ATTACKDAMAGE(IF(ISEVEN(COLUMN()),$B96,$C96),U$85,INT(balancing!$B$43/balancing!$B$33*U$85),CombatantLevelAttributeMod)</f>
      </c>
      <c r="V96" s="1">
        <f>ATTACKDAMAGE(IF(ISEVEN(COLUMN()),$B96,$C96),V$85,INT(balancing!$B$43/balancing!$B$33*V$85),CombatantLevelAttributeMod)</f>
      </c>
      <c r="W96" s="1">
        <f>ATTACKDAMAGE(IF(ISEVEN(COLUMN()),$B96,$C96),W$85,INT(balancing!$B$43/balancing!$B$33*W$85),CombatantLevelAttributeMod)</f>
      </c>
    </row>
    <row r="97" spans="1:23" x14ac:dyDescent="0.25">
      <c r="A97" s="3">
        <f>'equipment-weapons'!A13</f>
      </c>
      <c r="B97" s="3">
        <f>'equipment-weapons'!F13</f>
      </c>
      <c r="C97" s="3">
        <f>'equipment-weapons'!G13</f>
      </c>
      <c r="D97" s="1">
        <f>ATTACKDAMAGE(IF(ISEVEN(COLUMN()),$B97,$C97),D$85,INT(balancing!$B$43/balancing!$B$33*D$85),CombatantLevelAttributeMod)</f>
      </c>
      <c r="E97" s="1">
        <f>ATTACKDAMAGE(IF(ISEVEN(COLUMN()),$B97,$C97),E$85,INT(balancing!$B$43/balancing!$B$33*E$85),CombatantLevelAttributeMod)</f>
      </c>
      <c r="F97" s="1">
        <f>ATTACKDAMAGE(IF(ISEVEN(COLUMN()),$B97,$C97),F$85,INT(balancing!$B$43/balancing!$B$33*F$85),CombatantLevelAttributeMod)</f>
      </c>
      <c r="G97" s="1">
        <f>ATTACKDAMAGE(IF(ISEVEN(COLUMN()),$B97,$C97),G$85,INT(balancing!$B$43/balancing!$B$33*G$85),CombatantLevelAttributeMod)</f>
      </c>
      <c r="H97" s="1">
        <f>ATTACKDAMAGE(IF(ISEVEN(COLUMN()),$B97,$C97),H$85,INT(balancing!$B$43/balancing!$B$33*H$85),CombatantLevelAttributeMod)</f>
      </c>
      <c r="I97" s="1">
        <f>ATTACKDAMAGE(IF(ISEVEN(COLUMN()),$B97,$C97),I$85,INT(balancing!$B$43/balancing!$B$33*I$85),CombatantLevelAttributeMod)</f>
      </c>
      <c r="J97" s="1">
        <f>ATTACKDAMAGE(IF(ISEVEN(COLUMN()),$B97,$C97),J$85,INT(balancing!$B$43/balancing!$B$33*J$85),CombatantLevelAttributeMod)</f>
      </c>
      <c r="K97" s="1">
        <f>ATTACKDAMAGE(IF(ISEVEN(COLUMN()),$B97,$C97),K$85,INT(balancing!$B$43/balancing!$B$33*K$85),CombatantLevelAttributeMod)</f>
      </c>
      <c r="L97" s="1">
        <f>ATTACKDAMAGE(IF(ISEVEN(COLUMN()),$B97,$C97),L$85,INT(balancing!$B$43/balancing!$B$33*L$85),CombatantLevelAttributeMod)</f>
      </c>
      <c r="M97" s="1">
        <f>ATTACKDAMAGE(IF(ISEVEN(COLUMN()),$B97,$C97),M$85,INT(balancing!$B$43/balancing!$B$33*M$85),CombatantLevelAttributeMod)</f>
      </c>
      <c r="N97" s="1">
        <f>ATTACKDAMAGE(IF(ISEVEN(COLUMN()),$B97,$C97),N$85,INT(balancing!$B$43/balancing!$B$33*N$85),CombatantLevelAttributeMod)</f>
      </c>
      <c r="O97" s="1">
        <f>ATTACKDAMAGE(IF(ISEVEN(COLUMN()),$B97,$C97),O$85,INT(balancing!$B$43/balancing!$B$33*O$85),CombatantLevelAttributeMod)</f>
      </c>
      <c r="P97" s="1">
        <f>ATTACKDAMAGE(IF(ISEVEN(COLUMN()),$B97,$C97),P$85,INT(balancing!$B$43/balancing!$B$33*P$85),CombatantLevelAttributeMod)</f>
      </c>
      <c r="Q97" s="1">
        <f>ATTACKDAMAGE(IF(ISEVEN(COLUMN()),$B97,$C97),Q$85,INT(balancing!$B$43/balancing!$B$33*Q$85),CombatantLevelAttributeMod)</f>
      </c>
      <c r="R97" s="1">
        <f>ATTACKDAMAGE(IF(ISEVEN(COLUMN()),$B97,$C97),R$85,INT(balancing!$B$43/balancing!$B$33*R$85),CombatantLevelAttributeMod)</f>
      </c>
      <c r="S97" s="1">
        <f>ATTACKDAMAGE(IF(ISEVEN(COLUMN()),$B97,$C97),S$85,INT(balancing!$B$43/balancing!$B$33*S$85),CombatantLevelAttributeMod)</f>
      </c>
      <c r="T97" s="1">
        <f>ATTACKDAMAGE(IF(ISEVEN(COLUMN()),$B97,$C97),T$85,INT(balancing!$B$43/balancing!$B$33*T$85),CombatantLevelAttributeMod)</f>
      </c>
      <c r="U97" s="1">
        <f>ATTACKDAMAGE(IF(ISEVEN(COLUMN()),$B97,$C97),U$85,INT(balancing!$B$43/balancing!$B$33*U$85),CombatantLevelAttributeMod)</f>
      </c>
      <c r="V97" s="1">
        <f>ATTACKDAMAGE(IF(ISEVEN(COLUMN()),$B97,$C97),V$85,INT(balancing!$B$43/balancing!$B$33*V$85),CombatantLevelAttributeMod)</f>
      </c>
      <c r="W97" s="1">
        <f>ATTACKDAMAGE(IF(ISEVEN(COLUMN()),$B97,$C97),W$85,INT(balancing!$B$43/balancing!$B$33*W$85),CombatantLevelAttributeMod)</f>
      </c>
    </row>
    <row r="98" spans="1:23" x14ac:dyDescent="0.25">
      <c r="A98" s="3">
        <f>'equipment-weapons'!A14</f>
      </c>
      <c r="B98" s="3">
        <f>'equipment-weapons'!F14</f>
      </c>
      <c r="C98" s="3">
        <f>'equipment-weapons'!G14</f>
      </c>
      <c r="D98" s="1">
        <f>ATTACKDAMAGE(IF(ISEVEN(COLUMN()),$B98,$C98),D$85,INT(balancing!$B$43/balancing!$B$33*D$85),CombatantLevelAttributeMod)</f>
      </c>
      <c r="E98" s="1">
        <f>ATTACKDAMAGE(IF(ISEVEN(COLUMN()),$B98,$C98),E$85,INT(balancing!$B$43/balancing!$B$33*E$85),CombatantLevelAttributeMod)</f>
      </c>
      <c r="F98" s="1">
        <f>ATTACKDAMAGE(IF(ISEVEN(COLUMN()),$B98,$C98),F$85,INT(balancing!$B$43/balancing!$B$33*F$85),CombatantLevelAttributeMod)</f>
      </c>
      <c r="G98" s="1">
        <f>ATTACKDAMAGE(IF(ISEVEN(COLUMN()),$B98,$C98),G$85,INT(balancing!$B$43/balancing!$B$33*G$85),CombatantLevelAttributeMod)</f>
      </c>
      <c r="H98" s="1">
        <f>ATTACKDAMAGE(IF(ISEVEN(COLUMN()),$B98,$C98),H$85,INT(balancing!$B$43/balancing!$B$33*H$85),CombatantLevelAttributeMod)</f>
      </c>
      <c r="I98" s="1">
        <f>ATTACKDAMAGE(IF(ISEVEN(COLUMN()),$B98,$C98),I$85,INT(balancing!$B$43/balancing!$B$33*I$85),CombatantLevelAttributeMod)</f>
      </c>
      <c r="J98" s="1">
        <f>ATTACKDAMAGE(IF(ISEVEN(COLUMN()),$B98,$C98),J$85,INT(balancing!$B$43/balancing!$B$33*J$85),CombatantLevelAttributeMod)</f>
      </c>
      <c r="K98" s="1">
        <f>ATTACKDAMAGE(IF(ISEVEN(COLUMN()),$B98,$C98),K$85,INT(balancing!$B$43/balancing!$B$33*K$85),CombatantLevelAttributeMod)</f>
      </c>
      <c r="L98" s="1">
        <f>ATTACKDAMAGE(IF(ISEVEN(COLUMN()),$B98,$C98),L$85,INT(balancing!$B$43/balancing!$B$33*L$85),CombatantLevelAttributeMod)</f>
      </c>
      <c r="M98" s="1">
        <f>ATTACKDAMAGE(IF(ISEVEN(COLUMN()),$B98,$C98),M$85,INT(balancing!$B$43/balancing!$B$33*M$85),CombatantLevelAttributeMod)</f>
      </c>
      <c r="N98" s="1">
        <f>ATTACKDAMAGE(IF(ISEVEN(COLUMN()),$B98,$C98),N$85,INT(balancing!$B$43/balancing!$B$33*N$85),CombatantLevelAttributeMod)</f>
      </c>
      <c r="O98" s="1">
        <f>ATTACKDAMAGE(IF(ISEVEN(COLUMN()),$B98,$C98),O$85,INT(balancing!$B$43/balancing!$B$33*O$85),CombatantLevelAttributeMod)</f>
      </c>
      <c r="P98" s="1">
        <f>ATTACKDAMAGE(IF(ISEVEN(COLUMN()),$B98,$C98),P$85,INT(balancing!$B$43/balancing!$B$33*P$85),CombatantLevelAttributeMod)</f>
      </c>
      <c r="Q98" s="1">
        <f>ATTACKDAMAGE(IF(ISEVEN(COLUMN()),$B98,$C98),Q$85,INT(balancing!$B$43/balancing!$B$33*Q$85),CombatantLevelAttributeMod)</f>
      </c>
      <c r="R98" s="1">
        <f>ATTACKDAMAGE(IF(ISEVEN(COLUMN()),$B98,$C98),R$85,INT(balancing!$B$43/balancing!$B$33*R$85),CombatantLevelAttributeMod)</f>
      </c>
      <c r="S98" s="1">
        <f>ATTACKDAMAGE(IF(ISEVEN(COLUMN()),$B98,$C98),S$85,INT(balancing!$B$43/balancing!$B$33*S$85),CombatantLevelAttributeMod)</f>
      </c>
      <c r="T98" s="1">
        <f>ATTACKDAMAGE(IF(ISEVEN(COLUMN()),$B98,$C98),T$85,INT(balancing!$B$43/balancing!$B$33*T$85),CombatantLevelAttributeMod)</f>
      </c>
      <c r="U98" s="1">
        <f>ATTACKDAMAGE(IF(ISEVEN(COLUMN()),$B98,$C98),U$85,INT(balancing!$B$43/balancing!$B$33*U$85),CombatantLevelAttributeMod)</f>
      </c>
      <c r="V98" s="1">
        <f>ATTACKDAMAGE(IF(ISEVEN(COLUMN()),$B98,$C98),V$85,INT(balancing!$B$43/balancing!$B$33*V$85),CombatantLevelAttributeMod)</f>
      </c>
      <c r="W98" s="1">
        <f>ATTACKDAMAGE(IF(ISEVEN(COLUMN()),$B98,$C98),W$85,INT(balancing!$B$43/balancing!$B$33*W$85),CombatantLevelAttributeMod)</f>
      </c>
    </row>
    <row r="99" spans="1:23" x14ac:dyDescent="0.25">
      <c r="A99" s="3">
        <f>'equipment-weapons'!A15</f>
      </c>
      <c r="B99" s="3">
        <f>'equipment-weapons'!F15</f>
      </c>
      <c r="C99" s="3">
        <f>'equipment-weapons'!G15</f>
      </c>
      <c r="D99" s="1">
        <f>ATTACKDAMAGE(IF(ISEVEN(COLUMN()),$B99,$C99),D$85,INT(balancing!$B$43/balancing!$B$33*D$85),CombatantLevelAttributeMod)</f>
      </c>
      <c r="E99" s="1">
        <f>ATTACKDAMAGE(IF(ISEVEN(COLUMN()),$B99,$C99),E$85,INT(balancing!$B$43/balancing!$B$33*E$85),CombatantLevelAttributeMod)</f>
      </c>
      <c r="F99" s="1">
        <f>ATTACKDAMAGE(IF(ISEVEN(COLUMN()),$B99,$C99),F$85,INT(balancing!$B$43/balancing!$B$33*F$85),CombatantLevelAttributeMod)</f>
      </c>
      <c r="G99" s="1">
        <f>ATTACKDAMAGE(IF(ISEVEN(COLUMN()),$B99,$C99),G$85,INT(balancing!$B$43/balancing!$B$33*G$85),CombatantLevelAttributeMod)</f>
      </c>
      <c r="H99" s="1">
        <f>ATTACKDAMAGE(IF(ISEVEN(COLUMN()),$B99,$C99),H$85,INT(balancing!$B$43/balancing!$B$33*H$85),CombatantLevelAttributeMod)</f>
      </c>
      <c r="I99" s="1">
        <f>ATTACKDAMAGE(IF(ISEVEN(COLUMN()),$B99,$C99),I$85,INT(balancing!$B$43/balancing!$B$33*I$85),CombatantLevelAttributeMod)</f>
      </c>
      <c r="J99" s="1">
        <f>ATTACKDAMAGE(IF(ISEVEN(COLUMN()),$B99,$C99),J$85,INT(balancing!$B$43/balancing!$B$33*J$85),CombatantLevelAttributeMod)</f>
      </c>
      <c r="K99" s="1">
        <f>ATTACKDAMAGE(IF(ISEVEN(COLUMN()),$B99,$C99),K$85,INT(balancing!$B$43/balancing!$B$33*K$85),CombatantLevelAttributeMod)</f>
      </c>
      <c r="L99" s="1">
        <f>ATTACKDAMAGE(IF(ISEVEN(COLUMN()),$B99,$C99),L$85,INT(balancing!$B$43/balancing!$B$33*L$85),CombatantLevelAttributeMod)</f>
      </c>
      <c r="M99" s="1">
        <f>ATTACKDAMAGE(IF(ISEVEN(COLUMN()),$B99,$C99),M$85,INT(balancing!$B$43/balancing!$B$33*M$85),CombatantLevelAttributeMod)</f>
      </c>
      <c r="N99" s="1">
        <f>ATTACKDAMAGE(IF(ISEVEN(COLUMN()),$B99,$C99),N$85,INT(balancing!$B$43/balancing!$B$33*N$85),CombatantLevelAttributeMod)</f>
      </c>
      <c r="O99" s="1">
        <f>ATTACKDAMAGE(IF(ISEVEN(COLUMN()),$B99,$C99),O$85,INT(balancing!$B$43/balancing!$B$33*O$85),CombatantLevelAttributeMod)</f>
      </c>
      <c r="P99" s="1">
        <f>ATTACKDAMAGE(IF(ISEVEN(COLUMN()),$B99,$C99),P$85,INT(balancing!$B$43/balancing!$B$33*P$85),CombatantLevelAttributeMod)</f>
      </c>
      <c r="Q99" s="1">
        <f>ATTACKDAMAGE(IF(ISEVEN(COLUMN()),$B99,$C99),Q$85,INT(balancing!$B$43/balancing!$B$33*Q$85),CombatantLevelAttributeMod)</f>
      </c>
      <c r="R99" s="1">
        <f>ATTACKDAMAGE(IF(ISEVEN(COLUMN()),$B99,$C99),R$85,INT(balancing!$B$43/balancing!$B$33*R$85),CombatantLevelAttributeMod)</f>
      </c>
      <c r="S99" s="1">
        <f>ATTACKDAMAGE(IF(ISEVEN(COLUMN()),$B99,$C99),S$85,INT(balancing!$B$43/balancing!$B$33*S$85),CombatantLevelAttributeMod)</f>
      </c>
      <c r="T99" s="1">
        <f>ATTACKDAMAGE(IF(ISEVEN(COLUMN()),$B99,$C99),T$85,INT(balancing!$B$43/balancing!$B$33*T$85),CombatantLevelAttributeMod)</f>
      </c>
      <c r="U99" s="1">
        <f>ATTACKDAMAGE(IF(ISEVEN(COLUMN()),$B99,$C99),U$85,INT(balancing!$B$43/balancing!$B$33*U$85),CombatantLevelAttributeMod)</f>
      </c>
      <c r="V99" s="1">
        <f>ATTACKDAMAGE(IF(ISEVEN(COLUMN()),$B99,$C99),V$85,INT(balancing!$B$43/balancing!$B$33*V$85),CombatantLevelAttributeMod)</f>
      </c>
      <c r="W99" s="1">
        <f>ATTACKDAMAGE(IF(ISEVEN(COLUMN()),$B99,$C99),W$85,INT(balancing!$B$43/balancing!$B$33*W$85),CombatantLevelAttributeMod)</f>
      </c>
    </row>
    <row r="100" spans="1:23" x14ac:dyDescent="0.25">
      <c r="A100" s="3">
        <f>'equipment-weapons'!A16</f>
      </c>
      <c r="B100" s="3">
        <f>'equipment-weapons'!F16</f>
      </c>
      <c r="C100" s="3">
        <f>'equipment-weapons'!G16</f>
      </c>
      <c r="D100" s="1">
        <f>ATTACKDAMAGE(IF(ISEVEN(COLUMN()),$B100,$C100),D$85,INT(balancing!$B$43/balancing!$B$33*D$85),CombatantLevelAttributeMod)</f>
      </c>
      <c r="E100" s="1">
        <f>ATTACKDAMAGE(IF(ISEVEN(COLUMN()),$B100,$C100),E$85,INT(balancing!$B$43/balancing!$B$33*E$85),CombatantLevelAttributeMod)</f>
      </c>
      <c r="F100" s="1">
        <f>ATTACKDAMAGE(IF(ISEVEN(COLUMN()),$B100,$C100),F$85,INT(balancing!$B$43/balancing!$B$33*F$85),CombatantLevelAttributeMod)</f>
      </c>
      <c r="G100" s="1">
        <f>ATTACKDAMAGE(IF(ISEVEN(COLUMN()),$B100,$C100),G$85,INT(balancing!$B$43/balancing!$B$33*G$85),CombatantLevelAttributeMod)</f>
      </c>
      <c r="H100" s="1">
        <f>ATTACKDAMAGE(IF(ISEVEN(COLUMN()),$B100,$C100),H$85,INT(balancing!$B$43/balancing!$B$33*H$85),CombatantLevelAttributeMod)</f>
      </c>
      <c r="I100" s="1">
        <f>ATTACKDAMAGE(IF(ISEVEN(COLUMN()),$B100,$C100),I$85,INT(balancing!$B$43/balancing!$B$33*I$85),CombatantLevelAttributeMod)</f>
      </c>
      <c r="J100" s="1">
        <f>ATTACKDAMAGE(IF(ISEVEN(COLUMN()),$B100,$C100),J$85,INT(balancing!$B$43/balancing!$B$33*J$85),CombatantLevelAttributeMod)</f>
      </c>
      <c r="K100" s="1">
        <f>ATTACKDAMAGE(IF(ISEVEN(COLUMN()),$B100,$C100),K$85,INT(balancing!$B$43/balancing!$B$33*K$85),CombatantLevelAttributeMod)</f>
      </c>
      <c r="L100" s="1">
        <f>ATTACKDAMAGE(IF(ISEVEN(COLUMN()),$B100,$C100),L$85,INT(balancing!$B$43/balancing!$B$33*L$85),CombatantLevelAttributeMod)</f>
      </c>
      <c r="M100" s="1">
        <f>ATTACKDAMAGE(IF(ISEVEN(COLUMN()),$B100,$C100),M$85,INT(balancing!$B$43/balancing!$B$33*M$85),CombatantLevelAttributeMod)</f>
      </c>
      <c r="N100" s="1">
        <f>ATTACKDAMAGE(IF(ISEVEN(COLUMN()),$B100,$C100),N$85,INT(balancing!$B$43/balancing!$B$33*N$85),CombatantLevelAttributeMod)</f>
      </c>
      <c r="O100" s="1">
        <f>ATTACKDAMAGE(IF(ISEVEN(COLUMN()),$B100,$C100),O$85,INT(balancing!$B$43/balancing!$B$33*O$85),CombatantLevelAttributeMod)</f>
      </c>
      <c r="P100" s="1">
        <f>ATTACKDAMAGE(IF(ISEVEN(COLUMN()),$B100,$C100),P$85,INT(balancing!$B$43/balancing!$B$33*P$85),CombatantLevelAttributeMod)</f>
      </c>
      <c r="Q100" s="1">
        <f>ATTACKDAMAGE(IF(ISEVEN(COLUMN()),$B100,$C100),Q$85,INT(balancing!$B$43/balancing!$B$33*Q$85),CombatantLevelAttributeMod)</f>
      </c>
      <c r="R100" s="1">
        <f>ATTACKDAMAGE(IF(ISEVEN(COLUMN()),$B100,$C100),R$85,INT(balancing!$B$43/balancing!$B$33*R$85),CombatantLevelAttributeMod)</f>
      </c>
      <c r="S100" s="1">
        <f>ATTACKDAMAGE(IF(ISEVEN(COLUMN()),$B100,$C100),S$85,INT(balancing!$B$43/balancing!$B$33*S$85),CombatantLevelAttributeMod)</f>
      </c>
      <c r="T100" s="1">
        <f>ATTACKDAMAGE(IF(ISEVEN(COLUMN()),$B100,$C100),T$85,INT(balancing!$B$43/balancing!$B$33*T$85),CombatantLevelAttributeMod)</f>
      </c>
      <c r="U100" s="1">
        <f>ATTACKDAMAGE(IF(ISEVEN(COLUMN()),$B100,$C100),U$85,INT(balancing!$B$43/balancing!$B$33*U$85),CombatantLevelAttributeMod)</f>
      </c>
      <c r="V100" s="1">
        <f>ATTACKDAMAGE(IF(ISEVEN(COLUMN()),$B100,$C100),V$85,INT(balancing!$B$43/balancing!$B$33*V$85),CombatantLevelAttributeMod)</f>
      </c>
      <c r="W100" s="1">
        <f>ATTACKDAMAGE(IF(ISEVEN(COLUMN()),$B100,$C100),W$85,INT(balancing!$B$43/balancing!$B$33*W$85),CombatantLevelAttributeMod)</f>
      </c>
    </row>
    <row r="101" spans="1:23" x14ac:dyDescent="0.25">
      <c r="A101" s="3">
        <f>'equipment-weapons'!A17</f>
      </c>
      <c r="B101" s="3">
        <f>'equipment-weapons'!F17</f>
      </c>
      <c r="C101" s="3">
        <f>'equipment-weapons'!G17</f>
      </c>
      <c r="D101" s="1">
        <f>ATTACKDAMAGE(IF(ISEVEN(COLUMN()),$B101,$C101),D$85,INT(balancing!$B$43/balancing!$B$33*D$85),CombatantLevelAttributeMod)</f>
      </c>
      <c r="E101" s="1">
        <f>ATTACKDAMAGE(IF(ISEVEN(COLUMN()),$B101,$C101),E$85,INT(balancing!$B$43/balancing!$B$33*E$85),CombatantLevelAttributeMod)</f>
      </c>
      <c r="F101" s="1">
        <f>ATTACKDAMAGE(IF(ISEVEN(COLUMN()),$B101,$C101),F$85,INT(balancing!$B$43/balancing!$B$33*F$85),CombatantLevelAttributeMod)</f>
      </c>
      <c r="G101" s="1">
        <f>ATTACKDAMAGE(IF(ISEVEN(COLUMN()),$B101,$C101),G$85,INT(balancing!$B$43/balancing!$B$33*G$85),CombatantLevelAttributeMod)</f>
      </c>
      <c r="H101" s="1">
        <f>ATTACKDAMAGE(IF(ISEVEN(COLUMN()),$B101,$C101),H$85,INT(balancing!$B$43/balancing!$B$33*H$85),CombatantLevelAttributeMod)</f>
      </c>
      <c r="I101" s="1">
        <f>ATTACKDAMAGE(IF(ISEVEN(COLUMN()),$B101,$C101),I$85,INT(balancing!$B$43/balancing!$B$33*I$85),CombatantLevelAttributeMod)</f>
      </c>
      <c r="J101" s="1">
        <f>ATTACKDAMAGE(IF(ISEVEN(COLUMN()),$B101,$C101),J$85,INT(balancing!$B$43/balancing!$B$33*J$85),CombatantLevelAttributeMod)</f>
      </c>
      <c r="K101" s="1">
        <f>ATTACKDAMAGE(IF(ISEVEN(COLUMN()),$B101,$C101),K$85,INT(balancing!$B$43/balancing!$B$33*K$85),CombatantLevelAttributeMod)</f>
      </c>
      <c r="L101" s="1">
        <f>ATTACKDAMAGE(IF(ISEVEN(COLUMN()),$B101,$C101),L$85,INT(balancing!$B$43/balancing!$B$33*L$85),CombatantLevelAttributeMod)</f>
      </c>
      <c r="M101" s="1">
        <f>ATTACKDAMAGE(IF(ISEVEN(COLUMN()),$B101,$C101),M$85,INT(balancing!$B$43/balancing!$B$33*M$85),CombatantLevelAttributeMod)</f>
      </c>
      <c r="N101" s="1">
        <f>ATTACKDAMAGE(IF(ISEVEN(COLUMN()),$B101,$C101),N$85,INT(balancing!$B$43/balancing!$B$33*N$85),CombatantLevelAttributeMod)</f>
      </c>
      <c r="O101" s="1">
        <f>ATTACKDAMAGE(IF(ISEVEN(COLUMN()),$B101,$C101),O$85,INT(balancing!$B$43/balancing!$B$33*O$85),CombatantLevelAttributeMod)</f>
      </c>
      <c r="P101" s="1">
        <f>ATTACKDAMAGE(IF(ISEVEN(COLUMN()),$B101,$C101),P$85,INT(balancing!$B$43/balancing!$B$33*P$85),CombatantLevelAttributeMod)</f>
      </c>
      <c r="Q101" s="1">
        <f>ATTACKDAMAGE(IF(ISEVEN(COLUMN()),$B101,$C101),Q$85,INT(balancing!$B$43/balancing!$B$33*Q$85),CombatantLevelAttributeMod)</f>
      </c>
      <c r="R101" s="1">
        <f>ATTACKDAMAGE(IF(ISEVEN(COLUMN()),$B101,$C101),R$85,INT(balancing!$B$43/balancing!$B$33*R$85),CombatantLevelAttributeMod)</f>
      </c>
      <c r="S101" s="1">
        <f>ATTACKDAMAGE(IF(ISEVEN(COLUMN()),$B101,$C101),S$85,INT(balancing!$B$43/balancing!$B$33*S$85),CombatantLevelAttributeMod)</f>
      </c>
      <c r="T101" s="1">
        <f>ATTACKDAMAGE(IF(ISEVEN(COLUMN()),$B101,$C101),T$85,INT(balancing!$B$43/balancing!$B$33*T$85),CombatantLevelAttributeMod)</f>
      </c>
      <c r="U101" s="1">
        <f>ATTACKDAMAGE(IF(ISEVEN(COLUMN()),$B101,$C101),U$85,INT(balancing!$B$43/balancing!$B$33*U$85),CombatantLevelAttributeMod)</f>
      </c>
      <c r="V101" s="1">
        <f>ATTACKDAMAGE(IF(ISEVEN(COLUMN()),$B101,$C101),V$85,INT(balancing!$B$43/balancing!$B$33*V$85),CombatantLevelAttributeMod)</f>
      </c>
      <c r="W101" s="1">
        <f>ATTACKDAMAGE(IF(ISEVEN(COLUMN()),$B101,$C101),W$85,INT(balancing!$B$43/balancing!$B$33*W$85),CombatantLevelAttributeMod)</f>
      </c>
    </row>
    <row r="102" spans="1:23" x14ac:dyDescent="0.25">
      <c r="A102" s="3">
        <f>'equipment-weapons'!A18</f>
      </c>
      <c r="B102" s="3">
        <f>'equipment-weapons'!F18</f>
      </c>
      <c r="C102" s="3">
        <f>'equipment-weapons'!G18</f>
      </c>
      <c r="D102" s="1">
        <f>ATTACKDAMAGE(IF(ISEVEN(COLUMN()),$B102,$C102),D$85,INT(balancing!$B$43/balancing!$B$33*D$85),CombatantLevelAttributeMod)</f>
      </c>
      <c r="E102" s="1">
        <f>ATTACKDAMAGE(IF(ISEVEN(COLUMN()),$B102,$C102),E$85,INT(balancing!$B$43/balancing!$B$33*E$85),CombatantLevelAttributeMod)</f>
      </c>
      <c r="F102" s="1">
        <f>ATTACKDAMAGE(IF(ISEVEN(COLUMN()),$B102,$C102),F$85,INT(balancing!$B$43/balancing!$B$33*F$85),CombatantLevelAttributeMod)</f>
      </c>
      <c r="G102" s="1">
        <f>ATTACKDAMAGE(IF(ISEVEN(COLUMN()),$B102,$C102),G$85,INT(balancing!$B$43/balancing!$B$33*G$85),CombatantLevelAttributeMod)</f>
      </c>
      <c r="H102" s="1">
        <f>ATTACKDAMAGE(IF(ISEVEN(COLUMN()),$B102,$C102),H$85,INT(balancing!$B$43/balancing!$B$33*H$85),CombatantLevelAttributeMod)</f>
      </c>
      <c r="I102" s="1">
        <f>ATTACKDAMAGE(IF(ISEVEN(COLUMN()),$B102,$C102),I$85,INT(balancing!$B$43/balancing!$B$33*I$85),CombatantLevelAttributeMod)</f>
      </c>
      <c r="J102" s="1">
        <f>ATTACKDAMAGE(IF(ISEVEN(COLUMN()),$B102,$C102),J$85,INT(balancing!$B$43/balancing!$B$33*J$85),CombatantLevelAttributeMod)</f>
      </c>
      <c r="K102" s="1">
        <f>ATTACKDAMAGE(IF(ISEVEN(COLUMN()),$B102,$C102),K$85,INT(balancing!$B$43/balancing!$B$33*K$85),CombatantLevelAttributeMod)</f>
      </c>
      <c r="L102" s="1">
        <f>ATTACKDAMAGE(IF(ISEVEN(COLUMN()),$B102,$C102),L$85,INT(balancing!$B$43/balancing!$B$33*L$85),CombatantLevelAttributeMod)</f>
      </c>
      <c r="M102" s="1">
        <f>ATTACKDAMAGE(IF(ISEVEN(COLUMN()),$B102,$C102),M$85,INT(balancing!$B$43/balancing!$B$33*M$85),CombatantLevelAttributeMod)</f>
      </c>
      <c r="N102" s="1">
        <f>ATTACKDAMAGE(IF(ISEVEN(COLUMN()),$B102,$C102),N$85,INT(balancing!$B$43/balancing!$B$33*N$85),CombatantLevelAttributeMod)</f>
      </c>
      <c r="O102" s="1">
        <f>ATTACKDAMAGE(IF(ISEVEN(COLUMN()),$B102,$C102),O$85,INT(balancing!$B$43/balancing!$B$33*O$85),CombatantLevelAttributeMod)</f>
      </c>
      <c r="P102" s="1">
        <f>ATTACKDAMAGE(IF(ISEVEN(COLUMN()),$B102,$C102),P$85,INT(balancing!$B$43/balancing!$B$33*P$85),CombatantLevelAttributeMod)</f>
      </c>
      <c r="Q102" s="1">
        <f>ATTACKDAMAGE(IF(ISEVEN(COLUMN()),$B102,$C102),Q$85,INT(balancing!$B$43/balancing!$B$33*Q$85),CombatantLevelAttributeMod)</f>
      </c>
      <c r="R102" s="1">
        <f>ATTACKDAMAGE(IF(ISEVEN(COLUMN()),$B102,$C102),R$85,INT(balancing!$B$43/balancing!$B$33*R$85),CombatantLevelAttributeMod)</f>
      </c>
      <c r="S102" s="1">
        <f>ATTACKDAMAGE(IF(ISEVEN(COLUMN()),$B102,$C102),S$85,INT(balancing!$B$43/balancing!$B$33*S$85),CombatantLevelAttributeMod)</f>
      </c>
      <c r="T102" s="1">
        <f>ATTACKDAMAGE(IF(ISEVEN(COLUMN()),$B102,$C102),T$85,INT(balancing!$B$43/balancing!$B$33*T$85),CombatantLevelAttributeMod)</f>
      </c>
      <c r="U102" s="1">
        <f>ATTACKDAMAGE(IF(ISEVEN(COLUMN()),$B102,$C102),U$85,INT(balancing!$B$43/balancing!$B$33*U$85),CombatantLevelAttributeMod)</f>
      </c>
      <c r="V102" s="1">
        <f>ATTACKDAMAGE(IF(ISEVEN(COLUMN()),$B102,$C102),V$85,INT(balancing!$B$43/balancing!$B$33*V$85),CombatantLevelAttributeMod)</f>
      </c>
      <c r="W102" s="1">
        <f>ATTACKDAMAGE(IF(ISEVEN(COLUMN()),$B102,$C102),W$85,INT(balancing!$B$43/balancing!$B$33*W$85),CombatantLevelAttributeMod)</f>
      </c>
    </row>
    <row r="103" spans="1:23" x14ac:dyDescent="0.25">
      <c r="A103" s="3">
        <f>'equipment-weapons'!A19</f>
      </c>
      <c r="B103" s="3">
        <f>'equipment-weapons'!F19</f>
      </c>
      <c r="C103" s="3">
        <f>'equipment-weapons'!G19</f>
      </c>
      <c r="D103" s="1">
        <f>ATTACKDAMAGE(IF(ISEVEN(COLUMN()),$B103,$C103),D$85,INT(balancing!$B$43/balancing!$B$33*D$85),CombatantLevelAttributeMod)</f>
      </c>
      <c r="E103" s="1">
        <f>ATTACKDAMAGE(IF(ISEVEN(COLUMN()),$B103,$C103),E$85,INT(balancing!$B$43/balancing!$B$33*E$85),CombatantLevelAttributeMod)</f>
      </c>
      <c r="F103" s="1">
        <f>ATTACKDAMAGE(IF(ISEVEN(COLUMN()),$B103,$C103),F$85,INT(balancing!$B$43/balancing!$B$33*F$85),CombatantLevelAttributeMod)</f>
      </c>
      <c r="G103" s="1">
        <f>ATTACKDAMAGE(IF(ISEVEN(COLUMN()),$B103,$C103),G$85,INT(balancing!$B$43/balancing!$B$33*G$85),CombatantLevelAttributeMod)</f>
      </c>
      <c r="H103" s="1">
        <f>ATTACKDAMAGE(IF(ISEVEN(COLUMN()),$B103,$C103),H$85,INT(balancing!$B$43/balancing!$B$33*H$85),CombatantLevelAttributeMod)</f>
      </c>
      <c r="I103" s="1">
        <f>ATTACKDAMAGE(IF(ISEVEN(COLUMN()),$B103,$C103),I$85,INT(balancing!$B$43/balancing!$B$33*I$85),CombatantLevelAttributeMod)</f>
      </c>
      <c r="J103" s="1">
        <f>ATTACKDAMAGE(IF(ISEVEN(COLUMN()),$B103,$C103),J$85,INT(balancing!$B$43/balancing!$B$33*J$85),CombatantLevelAttributeMod)</f>
      </c>
      <c r="K103" s="1">
        <f>ATTACKDAMAGE(IF(ISEVEN(COLUMN()),$B103,$C103),K$85,INT(balancing!$B$43/balancing!$B$33*K$85),CombatantLevelAttributeMod)</f>
      </c>
      <c r="L103" s="1">
        <f>ATTACKDAMAGE(IF(ISEVEN(COLUMN()),$B103,$C103),L$85,INT(balancing!$B$43/balancing!$B$33*L$85),CombatantLevelAttributeMod)</f>
      </c>
      <c r="M103" s="1">
        <f>ATTACKDAMAGE(IF(ISEVEN(COLUMN()),$B103,$C103),M$85,INT(balancing!$B$43/balancing!$B$33*M$85),CombatantLevelAttributeMod)</f>
      </c>
      <c r="N103" s="1">
        <f>ATTACKDAMAGE(IF(ISEVEN(COLUMN()),$B103,$C103),N$85,INT(balancing!$B$43/balancing!$B$33*N$85),CombatantLevelAttributeMod)</f>
      </c>
      <c r="O103" s="1">
        <f>ATTACKDAMAGE(IF(ISEVEN(COLUMN()),$B103,$C103),O$85,INT(balancing!$B$43/balancing!$B$33*O$85),CombatantLevelAttributeMod)</f>
      </c>
      <c r="P103" s="1">
        <f>ATTACKDAMAGE(IF(ISEVEN(COLUMN()),$B103,$C103),P$85,INT(balancing!$B$43/balancing!$B$33*P$85),CombatantLevelAttributeMod)</f>
      </c>
      <c r="Q103" s="1">
        <f>ATTACKDAMAGE(IF(ISEVEN(COLUMN()),$B103,$C103),Q$85,INT(balancing!$B$43/balancing!$B$33*Q$85),CombatantLevelAttributeMod)</f>
      </c>
      <c r="R103" s="1">
        <f>ATTACKDAMAGE(IF(ISEVEN(COLUMN()),$B103,$C103),R$85,INT(balancing!$B$43/balancing!$B$33*R$85),CombatantLevelAttributeMod)</f>
      </c>
      <c r="S103" s="1">
        <f>ATTACKDAMAGE(IF(ISEVEN(COLUMN()),$B103,$C103),S$85,INT(balancing!$B$43/balancing!$B$33*S$85),CombatantLevelAttributeMod)</f>
      </c>
      <c r="T103" s="1">
        <f>ATTACKDAMAGE(IF(ISEVEN(COLUMN()),$B103,$C103),T$85,INT(balancing!$B$43/balancing!$B$33*T$85),CombatantLevelAttributeMod)</f>
      </c>
      <c r="U103" s="1">
        <f>ATTACKDAMAGE(IF(ISEVEN(COLUMN()),$B103,$C103),U$85,INT(balancing!$B$43/balancing!$B$33*U$85),CombatantLevelAttributeMod)</f>
      </c>
      <c r="V103" s="1">
        <f>ATTACKDAMAGE(IF(ISEVEN(COLUMN()),$B103,$C103),V$85,INT(balancing!$B$43/balancing!$B$33*V$85),CombatantLevelAttributeMod)</f>
      </c>
      <c r="W103" s="1">
        <f>ATTACKDAMAGE(IF(ISEVEN(COLUMN()),$B103,$C103),W$85,INT(balancing!$B$43/balancing!$B$33*W$85),CombatantLevelAttributeMod)</f>
      </c>
    </row>
    <row r="104" spans="1:23" x14ac:dyDescent="0.25">
      <c r="A104" s="3">
        <f>'equipment-weapons'!A20</f>
      </c>
      <c r="B104" s="3">
        <f>'equipment-weapons'!F20</f>
      </c>
      <c r="C104" s="3">
        <f>'equipment-weapons'!G20</f>
      </c>
      <c r="D104" s="1">
        <f>ATTACKDAMAGE(IF(ISEVEN(COLUMN()),$B104,$C104),D$85,INT(balancing!$B$43/balancing!$B$33*D$85),CombatantLevelAttributeMod)</f>
      </c>
      <c r="E104" s="1">
        <f>ATTACKDAMAGE(IF(ISEVEN(COLUMN()),$B104,$C104),E$85,INT(balancing!$B$43/balancing!$B$33*E$85),CombatantLevelAttributeMod)</f>
      </c>
      <c r="F104" s="1">
        <f>ATTACKDAMAGE(IF(ISEVEN(COLUMN()),$B104,$C104),F$85,INT(balancing!$B$43/balancing!$B$33*F$85),CombatantLevelAttributeMod)</f>
      </c>
      <c r="G104" s="1">
        <f>ATTACKDAMAGE(IF(ISEVEN(COLUMN()),$B104,$C104),G$85,INT(balancing!$B$43/balancing!$B$33*G$85),CombatantLevelAttributeMod)</f>
      </c>
      <c r="H104" s="1">
        <f>ATTACKDAMAGE(IF(ISEVEN(COLUMN()),$B104,$C104),H$85,INT(balancing!$B$43/balancing!$B$33*H$85),CombatantLevelAttributeMod)</f>
      </c>
      <c r="I104" s="1">
        <f>ATTACKDAMAGE(IF(ISEVEN(COLUMN()),$B104,$C104),I$85,INT(balancing!$B$43/balancing!$B$33*I$85),CombatantLevelAttributeMod)</f>
      </c>
      <c r="J104" s="1">
        <f>ATTACKDAMAGE(IF(ISEVEN(COLUMN()),$B104,$C104),J$85,INT(balancing!$B$43/balancing!$B$33*J$85),CombatantLevelAttributeMod)</f>
      </c>
      <c r="K104" s="1">
        <f>ATTACKDAMAGE(IF(ISEVEN(COLUMN()),$B104,$C104),K$85,INT(balancing!$B$43/balancing!$B$33*K$85),CombatantLevelAttributeMod)</f>
      </c>
      <c r="L104" s="1">
        <f>ATTACKDAMAGE(IF(ISEVEN(COLUMN()),$B104,$C104),L$85,INT(balancing!$B$43/balancing!$B$33*L$85),CombatantLevelAttributeMod)</f>
      </c>
      <c r="M104" s="1">
        <f>ATTACKDAMAGE(IF(ISEVEN(COLUMN()),$B104,$C104),M$85,INT(balancing!$B$43/balancing!$B$33*M$85),CombatantLevelAttributeMod)</f>
      </c>
      <c r="N104" s="1">
        <f>ATTACKDAMAGE(IF(ISEVEN(COLUMN()),$B104,$C104),N$85,INT(balancing!$B$43/balancing!$B$33*N$85),CombatantLevelAttributeMod)</f>
      </c>
      <c r="O104" s="1">
        <f>ATTACKDAMAGE(IF(ISEVEN(COLUMN()),$B104,$C104),O$85,INT(balancing!$B$43/balancing!$B$33*O$85),CombatantLevelAttributeMod)</f>
      </c>
      <c r="P104" s="1">
        <f>ATTACKDAMAGE(IF(ISEVEN(COLUMN()),$B104,$C104),P$85,INT(balancing!$B$43/balancing!$B$33*P$85),CombatantLevelAttributeMod)</f>
      </c>
      <c r="Q104" s="1">
        <f>ATTACKDAMAGE(IF(ISEVEN(COLUMN()),$B104,$C104),Q$85,INT(balancing!$B$43/balancing!$B$33*Q$85),CombatantLevelAttributeMod)</f>
      </c>
      <c r="R104" s="1">
        <f>ATTACKDAMAGE(IF(ISEVEN(COLUMN()),$B104,$C104),R$85,INT(balancing!$B$43/balancing!$B$33*R$85),CombatantLevelAttributeMod)</f>
      </c>
      <c r="S104" s="1">
        <f>ATTACKDAMAGE(IF(ISEVEN(COLUMN()),$B104,$C104),S$85,INT(balancing!$B$43/balancing!$B$33*S$85),CombatantLevelAttributeMod)</f>
      </c>
      <c r="T104" s="1">
        <f>ATTACKDAMAGE(IF(ISEVEN(COLUMN()),$B104,$C104),T$85,INT(balancing!$B$43/balancing!$B$33*T$85),CombatantLevelAttributeMod)</f>
      </c>
      <c r="U104" s="1">
        <f>ATTACKDAMAGE(IF(ISEVEN(COLUMN()),$B104,$C104),U$85,INT(balancing!$B$43/balancing!$B$33*U$85),CombatantLevelAttributeMod)</f>
      </c>
      <c r="V104" s="1">
        <f>ATTACKDAMAGE(IF(ISEVEN(COLUMN()),$B104,$C104),V$85,INT(balancing!$B$43/balancing!$B$33*V$85),CombatantLevelAttributeMod)</f>
      </c>
      <c r="W104" s="1">
        <f>ATTACKDAMAGE(IF(ISEVEN(COLUMN()),$B104,$C104),W$85,INT(balancing!$B$43/balancing!$B$33*W$85),CombatantLevelAttributeMod)</f>
      </c>
    </row>
    <row r="105" spans="1:23" x14ac:dyDescent="0.25">
      <c r="A105" s="3">
        <f>'equipment-weapons'!A21</f>
      </c>
      <c r="B105" s="3">
        <f>'equipment-weapons'!F21</f>
      </c>
      <c r="C105" s="3">
        <f>'equipment-weapons'!G21</f>
      </c>
      <c r="D105" s="1">
        <f>ATTACKDAMAGE(IF(ISEVEN(COLUMN()),$B105,$C105),D$85,INT(balancing!$B$43/balancing!$B$33*D$85),CombatantLevelAttributeMod)</f>
      </c>
      <c r="E105" s="1">
        <f>ATTACKDAMAGE(IF(ISEVEN(COLUMN()),$B105,$C105),E$85,INT(balancing!$B$43/balancing!$B$33*E$85),CombatantLevelAttributeMod)</f>
      </c>
      <c r="F105" s="1">
        <f>ATTACKDAMAGE(IF(ISEVEN(COLUMN()),$B105,$C105),F$85,INT(balancing!$B$43/balancing!$B$33*F$85),CombatantLevelAttributeMod)</f>
      </c>
      <c r="G105" s="1">
        <f>ATTACKDAMAGE(IF(ISEVEN(COLUMN()),$B105,$C105),G$85,INT(balancing!$B$43/balancing!$B$33*G$85),CombatantLevelAttributeMod)</f>
      </c>
      <c r="H105" s="1">
        <f>ATTACKDAMAGE(IF(ISEVEN(COLUMN()),$B105,$C105),H$85,INT(balancing!$B$43/balancing!$B$33*H$85),CombatantLevelAttributeMod)</f>
      </c>
      <c r="I105" s="1">
        <f>ATTACKDAMAGE(IF(ISEVEN(COLUMN()),$B105,$C105),I$85,INT(balancing!$B$43/balancing!$B$33*I$85),CombatantLevelAttributeMod)</f>
      </c>
      <c r="J105" s="1">
        <f>ATTACKDAMAGE(IF(ISEVEN(COLUMN()),$B105,$C105),J$85,INT(balancing!$B$43/balancing!$B$33*J$85),CombatantLevelAttributeMod)</f>
      </c>
      <c r="K105" s="1">
        <f>ATTACKDAMAGE(IF(ISEVEN(COLUMN()),$B105,$C105),K$85,INT(balancing!$B$43/balancing!$B$33*K$85),CombatantLevelAttributeMod)</f>
      </c>
      <c r="L105" s="1">
        <f>ATTACKDAMAGE(IF(ISEVEN(COLUMN()),$B105,$C105),L$85,INT(balancing!$B$43/balancing!$B$33*L$85),CombatantLevelAttributeMod)</f>
      </c>
      <c r="M105" s="1">
        <f>ATTACKDAMAGE(IF(ISEVEN(COLUMN()),$B105,$C105),M$85,INT(balancing!$B$43/balancing!$B$33*M$85),CombatantLevelAttributeMod)</f>
      </c>
      <c r="N105" s="1">
        <f>ATTACKDAMAGE(IF(ISEVEN(COLUMN()),$B105,$C105),N$85,INT(balancing!$B$43/balancing!$B$33*N$85),CombatantLevelAttributeMod)</f>
      </c>
      <c r="O105" s="1">
        <f>ATTACKDAMAGE(IF(ISEVEN(COLUMN()),$B105,$C105),O$85,INT(balancing!$B$43/balancing!$B$33*O$85),CombatantLevelAttributeMod)</f>
      </c>
      <c r="P105" s="1">
        <f>ATTACKDAMAGE(IF(ISEVEN(COLUMN()),$B105,$C105),P$85,INT(balancing!$B$43/balancing!$B$33*P$85),CombatantLevelAttributeMod)</f>
      </c>
      <c r="Q105" s="1">
        <f>ATTACKDAMAGE(IF(ISEVEN(COLUMN()),$B105,$C105),Q$85,INT(balancing!$B$43/balancing!$B$33*Q$85),CombatantLevelAttributeMod)</f>
      </c>
      <c r="R105" s="1">
        <f>ATTACKDAMAGE(IF(ISEVEN(COLUMN()),$B105,$C105),R$85,INT(balancing!$B$43/balancing!$B$33*R$85),CombatantLevelAttributeMod)</f>
      </c>
      <c r="S105" s="1">
        <f>ATTACKDAMAGE(IF(ISEVEN(COLUMN()),$B105,$C105),S$85,INT(balancing!$B$43/balancing!$B$33*S$85),CombatantLevelAttributeMod)</f>
      </c>
      <c r="T105" s="1">
        <f>ATTACKDAMAGE(IF(ISEVEN(COLUMN()),$B105,$C105),T$85,INT(balancing!$B$43/balancing!$B$33*T$85),CombatantLevelAttributeMod)</f>
      </c>
      <c r="U105" s="1">
        <f>ATTACKDAMAGE(IF(ISEVEN(COLUMN()),$B105,$C105),U$85,INT(balancing!$B$43/balancing!$B$33*U$85),CombatantLevelAttributeMod)</f>
      </c>
      <c r="V105" s="1">
        <f>ATTACKDAMAGE(IF(ISEVEN(COLUMN()),$B105,$C105),V$85,INT(balancing!$B$43/balancing!$B$33*V$85),CombatantLevelAttributeMod)</f>
      </c>
      <c r="W105" s="1">
        <f>ATTACKDAMAGE(IF(ISEVEN(COLUMN()),$B105,$C105),W$85,INT(balancing!$B$43/balancing!$B$33*W$85),CombatantLevelAttributeMod)</f>
      </c>
    </row>
    <row r="106" spans="1:23" x14ac:dyDescent="0.25">
      <c r="A106" s="3">
        <f>'equipment-weapons'!A22</f>
      </c>
      <c r="B106" s="3">
        <f>'equipment-weapons'!F22</f>
      </c>
      <c r="C106" s="3">
        <f>'equipment-weapons'!G22</f>
      </c>
      <c r="D106" s="1">
        <f>ATTACKDAMAGE(IF(ISEVEN(COLUMN()),$B106,$C106),D$85,INT(balancing!$B$43/balancing!$B$33*D$85),CombatantLevelAttributeMod)</f>
      </c>
      <c r="E106" s="1">
        <f>ATTACKDAMAGE(IF(ISEVEN(COLUMN()),$B106,$C106),E$85,INT(balancing!$B$43/balancing!$B$33*E$85),CombatantLevelAttributeMod)</f>
      </c>
      <c r="F106" s="1">
        <f>ATTACKDAMAGE(IF(ISEVEN(COLUMN()),$B106,$C106),F$85,INT(balancing!$B$43/balancing!$B$33*F$85),CombatantLevelAttributeMod)</f>
      </c>
      <c r="G106" s="1">
        <f>ATTACKDAMAGE(IF(ISEVEN(COLUMN()),$B106,$C106),G$85,INT(balancing!$B$43/balancing!$B$33*G$85),CombatantLevelAttributeMod)</f>
      </c>
      <c r="H106" s="1">
        <f>ATTACKDAMAGE(IF(ISEVEN(COLUMN()),$B106,$C106),H$85,INT(balancing!$B$43/balancing!$B$33*H$85),CombatantLevelAttributeMod)</f>
      </c>
      <c r="I106" s="1">
        <f>ATTACKDAMAGE(IF(ISEVEN(COLUMN()),$B106,$C106),I$85,INT(balancing!$B$43/balancing!$B$33*I$85),CombatantLevelAttributeMod)</f>
      </c>
      <c r="J106" s="1">
        <f>ATTACKDAMAGE(IF(ISEVEN(COLUMN()),$B106,$C106),J$85,INT(balancing!$B$43/balancing!$B$33*J$85),CombatantLevelAttributeMod)</f>
      </c>
      <c r="K106" s="1">
        <f>ATTACKDAMAGE(IF(ISEVEN(COLUMN()),$B106,$C106),K$85,INT(balancing!$B$43/balancing!$B$33*K$85),CombatantLevelAttributeMod)</f>
      </c>
      <c r="L106" s="1">
        <f>ATTACKDAMAGE(IF(ISEVEN(COLUMN()),$B106,$C106),L$85,INT(balancing!$B$43/balancing!$B$33*L$85),CombatantLevelAttributeMod)</f>
      </c>
      <c r="M106" s="1">
        <f>ATTACKDAMAGE(IF(ISEVEN(COLUMN()),$B106,$C106),M$85,INT(balancing!$B$43/balancing!$B$33*M$85),CombatantLevelAttributeMod)</f>
      </c>
      <c r="N106" s="1">
        <f>ATTACKDAMAGE(IF(ISEVEN(COLUMN()),$B106,$C106),N$85,INT(balancing!$B$43/balancing!$B$33*N$85),CombatantLevelAttributeMod)</f>
      </c>
      <c r="O106" s="1">
        <f>ATTACKDAMAGE(IF(ISEVEN(COLUMN()),$B106,$C106),O$85,INT(balancing!$B$43/balancing!$B$33*O$85),CombatantLevelAttributeMod)</f>
      </c>
      <c r="P106" s="1">
        <f>ATTACKDAMAGE(IF(ISEVEN(COLUMN()),$B106,$C106),P$85,INT(balancing!$B$43/balancing!$B$33*P$85),CombatantLevelAttributeMod)</f>
      </c>
      <c r="Q106" s="1">
        <f>ATTACKDAMAGE(IF(ISEVEN(COLUMN()),$B106,$C106),Q$85,INT(balancing!$B$43/balancing!$B$33*Q$85),CombatantLevelAttributeMod)</f>
      </c>
      <c r="R106" s="1">
        <f>ATTACKDAMAGE(IF(ISEVEN(COLUMN()),$B106,$C106),R$85,INT(balancing!$B$43/balancing!$B$33*R$85),CombatantLevelAttributeMod)</f>
      </c>
      <c r="S106" s="1">
        <f>ATTACKDAMAGE(IF(ISEVEN(COLUMN()),$B106,$C106),S$85,INT(balancing!$B$43/balancing!$B$33*S$85),CombatantLevelAttributeMod)</f>
      </c>
      <c r="T106" s="1">
        <f>ATTACKDAMAGE(IF(ISEVEN(COLUMN()),$B106,$C106),T$85,INT(balancing!$B$43/balancing!$B$33*T$85),CombatantLevelAttributeMod)</f>
      </c>
      <c r="U106" s="1">
        <f>ATTACKDAMAGE(IF(ISEVEN(COLUMN()),$B106,$C106),U$85,INT(balancing!$B$43/balancing!$B$33*U$85),CombatantLevelAttributeMod)</f>
      </c>
      <c r="V106" s="1">
        <f>ATTACKDAMAGE(IF(ISEVEN(COLUMN()),$B106,$C106),V$85,INT(balancing!$B$43/balancing!$B$33*V$85),CombatantLevelAttributeMod)</f>
      </c>
      <c r="W106" s="1">
        <f>ATTACKDAMAGE(IF(ISEVEN(COLUMN()),$B106,$C106),W$85,INT(balancing!$B$43/balancing!$B$33*W$85),CombatantLevelAttributeMod)</f>
      </c>
    </row>
    <row r="107" spans="1:23" x14ac:dyDescent="0.25">
      <c r="A107" s="3">
        <f>'equipment-weapons'!A23</f>
      </c>
      <c r="B107" s="3">
        <f>'equipment-weapons'!F23</f>
      </c>
      <c r="C107" s="3">
        <f>'equipment-weapons'!G23</f>
      </c>
      <c r="D107" s="1">
        <f>ATTACKDAMAGE(IF(ISEVEN(COLUMN()),$B107,$C107),D$85,INT(balancing!$B$43/balancing!$B$33*D$85),CombatantLevelAttributeMod)</f>
      </c>
      <c r="E107" s="1">
        <f>ATTACKDAMAGE(IF(ISEVEN(COLUMN()),$B107,$C107),E$85,INT(balancing!$B$43/balancing!$B$33*E$85),CombatantLevelAttributeMod)</f>
      </c>
      <c r="F107" s="1">
        <f>ATTACKDAMAGE(IF(ISEVEN(COLUMN()),$B107,$C107),F$85,INT(balancing!$B$43/balancing!$B$33*F$85),CombatantLevelAttributeMod)</f>
      </c>
      <c r="G107" s="1">
        <f>ATTACKDAMAGE(IF(ISEVEN(COLUMN()),$B107,$C107),G$85,INT(balancing!$B$43/balancing!$B$33*G$85),CombatantLevelAttributeMod)</f>
      </c>
      <c r="H107" s="1">
        <f>ATTACKDAMAGE(IF(ISEVEN(COLUMN()),$B107,$C107),H$85,INT(balancing!$B$43/balancing!$B$33*H$85),CombatantLevelAttributeMod)</f>
      </c>
      <c r="I107" s="1">
        <f>ATTACKDAMAGE(IF(ISEVEN(COLUMN()),$B107,$C107),I$85,INT(balancing!$B$43/balancing!$B$33*I$85),CombatantLevelAttributeMod)</f>
      </c>
      <c r="J107" s="1">
        <f>ATTACKDAMAGE(IF(ISEVEN(COLUMN()),$B107,$C107),J$85,INT(balancing!$B$43/balancing!$B$33*J$85),CombatantLevelAttributeMod)</f>
      </c>
      <c r="K107" s="1">
        <f>ATTACKDAMAGE(IF(ISEVEN(COLUMN()),$B107,$C107),K$85,INT(balancing!$B$43/balancing!$B$33*K$85),CombatantLevelAttributeMod)</f>
      </c>
      <c r="L107" s="1">
        <f>ATTACKDAMAGE(IF(ISEVEN(COLUMN()),$B107,$C107),L$85,INT(balancing!$B$43/balancing!$B$33*L$85),CombatantLevelAttributeMod)</f>
      </c>
      <c r="M107" s="1">
        <f>ATTACKDAMAGE(IF(ISEVEN(COLUMN()),$B107,$C107),M$85,INT(balancing!$B$43/balancing!$B$33*M$85),CombatantLevelAttributeMod)</f>
      </c>
      <c r="N107" s="1">
        <f>ATTACKDAMAGE(IF(ISEVEN(COLUMN()),$B107,$C107),N$85,INT(balancing!$B$43/balancing!$B$33*N$85),CombatantLevelAttributeMod)</f>
      </c>
      <c r="O107" s="1">
        <f>ATTACKDAMAGE(IF(ISEVEN(COLUMN()),$B107,$C107),O$85,INT(balancing!$B$43/balancing!$B$33*O$85),CombatantLevelAttributeMod)</f>
      </c>
      <c r="P107" s="1">
        <f>ATTACKDAMAGE(IF(ISEVEN(COLUMN()),$B107,$C107),P$85,INT(balancing!$B$43/balancing!$B$33*P$85),CombatantLevelAttributeMod)</f>
      </c>
      <c r="Q107" s="1">
        <f>ATTACKDAMAGE(IF(ISEVEN(COLUMN()),$B107,$C107),Q$85,INT(balancing!$B$43/balancing!$B$33*Q$85),CombatantLevelAttributeMod)</f>
      </c>
      <c r="R107" s="1">
        <f>ATTACKDAMAGE(IF(ISEVEN(COLUMN()),$B107,$C107),R$85,INT(balancing!$B$43/balancing!$B$33*R$85),CombatantLevelAttributeMod)</f>
      </c>
      <c r="S107" s="1">
        <f>ATTACKDAMAGE(IF(ISEVEN(COLUMN()),$B107,$C107),S$85,INT(balancing!$B$43/balancing!$B$33*S$85),CombatantLevelAttributeMod)</f>
      </c>
      <c r="T107" s="1">
        <f>ATTACKDAMAGE(IF(ISEVEN(COLUMN()),$B107,$C107),T$85,INT(balancing!$B$43/balancing!$B$33*T$85),CombatantLevelAttributeMod)</f>
      </c>
      <c r="U107" s="1">
        <f>ATTACKDAMAGE(IF(ISEVEN(COLUMN()),$B107,$C107),U$85,INT(balancing!$B$43/balancing!$B$33*U$85),CombatantLevelAttributeMod)</f>
      </c>
      <c r="V107" s="1">
        <f>ATTACKDAMAGE(IF(ISEVEN(COLUMN()),$B107,$C107),V$85,INT(balancing!$B$43/balancing!$B$33*V$85),CombatantLevelAttributeMod)</f>
      </c>
      <c r="W107" s="1">
        <f>ATTACKDAMAGE(IF(ISEVEN(COLUMN()),$B107,$C107),W$85,INT(balancing!$B$43/balancing!$B$33*W$85),CombatantLevelAttributeMod)</f>
      </c>
    </row>
    <row r="108" spans="1:23" x14ac:dyDescent="0.25">
      <c r="A108" s="3">
        <f>'equipment-weapons'!A24</f>
      </c>
      <c r="B108" s="3">
        <f>'equipment-weapons'!F24</f>
      </c>
      <c r="C108" s="3">
        <f>'equipment-weapons'!G24</f>
      </c>
      <c r="D108" s="1">
        <f>ATTACKDAMAGE(IF(ISEVEN(COLUMN()),$B108,$C108),D$85,INT(balancing!$B$43/balancing!$B$33*D$85),CombatantLevelAttributeMod)</f>
      </c>
      <c r="E108" s="1">
        <f>ATTACKDAMAGE(IF(ISEVEN(COLUMN()),$B108,$C108),E$85,INT(balancing!$B$43/balancing!$B$33*E$85),CombatantLevelAttributeMod)</f>
      </c>
      <c r="F108" s="1">
        <f>ATTACKDAMAGE(IF(ISEVEN(COLUMN()),$B108,$C108),F$85,INT(balancing!$B$43/balancing!$B$33*F$85),CombatantLevelAttributeMod)</f>
      </c>
      <c r="G108" s="1">
        <f>ATTACKDAMAGE(IF(ISEVEN(COLUMN()),$B108,$C108),G$85,INT(balancing!$B$43/balancing!$B$33*G$85),CombatantLevelAttributeMod)</f>
      </c>
      <c r="H108" s="1">
        <f>ATTACKDAMAGE(IF(ISEVEN(COLUMN()),$B108,$C108),H$85,INT(balancing!$B$43/balancing!$B$33*H$85),CombatantLevelAttributeMod)</f>
      </c>
      <c r="I108" s="1">
        <f>ATTACKDAMAGE(IF(ISEVEN(COLUMN()),$B108,$C108),I$85,INT(balancing!$B$43/balancing!$B$33*I$85),CombatantLevelAttributeMod)</f>
      </c>
      <c r="J108" s="1">
        <f>ATTACKDAMAGE(IF(ISEVEN(COLUMN()),$B108,$C108),J$85,INT(balancing!$B$43/balancing!$B$33*J$85),CombatantLevelAttributeMod)</f>
      </c>
      <c r="K108" s="1">
        <f>ATTACKDAMAGE(IF(ISEVEN(COLUMN()),$B108,$C108),K$85,INT(balancing!$B$43/balancing!$B$33*K$85),CombatantLevelAttributeMod)</f>
      </c>
      <c r="L108" s="1">
        <f>ATTACKDAMAGE(IF(ISEVEN(COLUMN()),$B108,$C108),L$85,INT(balancing!$B$43/balancing!$B$33*L$85),CombatantLevelAttributeMod)</f>
      </c>
      <c r="M108" s="1">
        <f>ATTACKDAMAGE(IF(ISEVEN(COLUMN()),$B108,$C108),M$85,INT(balancing!$B$43/balancing!$B$33*M$85),CombatantLevelAttributeMod)</f>
      </c>
      <c r="N108" s="1">
        <f>ATTACKDAMAGE(IF(ISEVEN(COLUMN()),$B108,$C108),N$85,INT(balancing!$B$43/balancing!$B$33*N$85),CombatantLevelAttributeMod)</f>
      </c>
      <c r="O108" s="1">
        <f>ATTACKDAMAGE(IF(ISEVEN(COLUMN()),$B108,$C108),O$85,INT(balancing!$B$43/balancing!$B$33*O$85),CombatantLevelAttributeMod)</f>
      </c>
      <c r="P108" s="1">
        <f>ATTACKDAMAGE(IF(ISEVEN(COLUMN()),$B108,$C108),P$85,INT(balancing!$B$43/balancing!$B$33*P$85),CombatantLevelAttributeMod)</f>
      </c>
      <c r="Q108" s="1">
        <f>ATTACKDAMAGE(IF(ISEVEN(COLUMN()),$B108,$C108),Q$85,INT(balancing!$B$43/balancing!$B$33*Q$85),CombatantLevelAttributeMod)</f>
      </c>
      <c r="R108" s="1">
        <f>ATTACKDAMAGE(IF(ISEVEN(COLUMN()),$B108,$C108),R$85,INT(balancing!$B$43/balancing!$B$33*R$85),CombatantLevelAttributeMod)</f>
      </c>
      <c r="S108" s="1">
        <f>ATTACKDAMAGE(IF(ISEVEN(COLUMN()),$B108,$C108),S$85,INT(balancing!$B$43/balancing!$B$33*S$85),CombatantLevelAttributeMod)</f>
      </c>
      <c r="T108" s="1">
        <f>ATTACKDAMAGE(IF(ISEVEN(COLUMN()),$B108,$C108),T$85,INT(balancing!$B$43/balancing!$B$33*T$85),CombatantLevelAttributeMod)</f>
      </c>
      <c r="U108" s="1">
        <f>ATTACKDAMAGE(IF(ISEVEN(COLUMN()),$B108,$C108),U$85,INT(balancing!$B$43/balancing!$B$33*U$85),CombatantLevelAttributeMod)</f>
      </c>
      <c r="V108" s="1">
        <f>ATTACKDAMAGE(IF(ISEVEN(COLUMN()),$B108,$C108),V$85,INT(balancing!$B$43/balancing!$B$33*V$85),CombatantLevelAttributeMod)</f>
      </c>
      <c r="W108" s="1">
        <f>ATTACKDAMAGE(IF(ISEVEN(COLUMN()),$B108,$C108),W$85,INT(balancing!$B$43/balancing!$B$33*W$85),CombatantLevelAttributeMod)</f>
      </c>
    </row>
    <row r="109" spans="1:23" x14ac:dyDescent="0.25">
      <c r="A109" s="3">
        <f>'equipment-weapons'!A25</f>
      </c>
      <c r="B109" s="3">
        <f>'equipment-weapons'!F25</f>
      </c>
      <c r="C109" s="3">
        <f>'equipment-weapons'!G25</f>
      </c>
      <c r="D109" s="1">
        <f>ATTACKDAMAGE(IF(ISEVEN(COLUMN()),$B109,$C109),D$85,INT(balancing!$B$43/balancing!$B$33*D$85),CombatantLevelAttributeMod)</f>
      </c>
      <c r="E109" s="1">
        <f>ATTACKDAMAGE(IF(ISEVEN(COLUMN()),$B109,$C109),E$85,INT(balancing!$B$43/balancing!$B$33*E$85),CombatantLevelAttributeMod)</f>
      </c>
      <c r="F109" s="1">
        <f>ATTACKDAMAGE(IF(ISEVEN(COLUMN()),$B109,$C109),F$85,INT(balancing!$B$43/balancing!$B$33*F$85),CombatantLevelAttributeMod)</f>
      </c>
      <c r="G109" s="1">
        <f>ATTACKDAMAGE(IF(ISEVEN(COLUMN()),$B109,$C109),G$85,INT(balancing!$B$43/balancing!$B$33*G$85),CombatantLevelAttributeMod)</f>
      </c>
      <c r="H109" s="1">
        <f>ATTACKDAMAGE(IF(ISEVEN(COLUMN()),$B109,$C109),H$85,INT(balancing!$B$43/balancing!$B$33*H$85),CombatantLevelAttributeMod)</f>
      </c>
      <c r="I109" s="1">
        <f>ATTACKDAMAGE(IF(ISEVEN(COLUMN()),$B109,$C109),I$85,INT(balancing!$B$43/balancing!$B$33*I$85),CombatantLevelAttributeMod)</f>
      </c>
      <c r="J109" s="1">
        <f>ATTACKDAMAGE(IF(ISEVEN(COLUMN()),$B109,$C109),J$85,INT(balancing!$B$43/balancing!$B$33*J$85),CombatantLevelAttributeMod)</f>
      </c>
      <c r="K109" s="1">
        <f>ATTACKDAMAGE(IF(ISEVEN(COLUMN()),$B109,$C109),K$85,INT(balancing!$B$43/balancing!$B$33*K$85),CombatantLevelAttributeMod)</f>
      </c>
      <c r="L109" s="1">
        <f>ATTACKDAMAGE(IF(ISEVEN(COLUMN()),$B109,$C109),L$85,INT(balancing!$B$43/balancing!$B$33*L$85),CombatantLevelAttributeMod)</f>
      </c>
      <c r="M109" s="1">
        <f>ATTACKDAMAGE(IF(ISEVEN(COLUMN()),$B109,$C109),M$85,INT(balancing!$B$43/balancing!$B$33*M$85),CombatantLevelAttributeMod)</f>
      </c>
      <c r="N109" s="1">
        <f>ATTACKDAMAGE(IF(ISEVEN(COLUMN()),$B109,$C109),N$85,INT(balancing!$B$43/balancing!$B$33*N$85),CombatantLevelAttributeMod)</f>
      </c>
      <c r="O109" s="1">
        <f>ATTACKDAMAGE(IF(ISEVEN(COLUMN()),$B109,$C109),O$85,INT(balancing!$B$43/balancing!$B$33*O$85),CombatantLevelAttributeMod)</f>
      </c>
      <c r="P109" s="1">
        <f>ATTACKDAMAGE(IF(ISEVEN(COLUMN()),$B109,$C109),P$85,INT(balancing!$B$43/balancing!$B$33*P$85),CombatantLevelAttributeMod)</f>
      </c>
      <c r="Q109" s="1">
        <f>ATTACKDAMAGE(IF(ISEVEN(COLUMN()),$B109,$C109),Q$85,INT(balancing!$B$43/balancing!$B$33*Q$85),CombatantLevelAttributeMod)</f>
      </c>
      <c r="R109" s="1">
        <f>ATTACKDAMAGE(IF(ISEVEN(COLUMN()),$B109,$C109),R$85,INT(balancing!$B$43/balancing!$B$33*R$85),CombatantLevelAttributeMod)</f>
      </c>
      <c r="S109" s="1">
        <f>ATTACKDAMAGE(IF(ISEVEN(COLUMN()),$B109,$C109),S$85,INT(balancing!$B$43/balancing!$B$33*S$85),CombatantLevelAttributeMod)</f>
      </c>
      <c r="T109" s="1">
        <f>ATTACKDAMAGE(IF(ISEVEN(COLUMN()),$B109,$C109),T$85,INT(balancing!$B$43/balancing!$B$33*T$85),CombatantLevelAttributeMod)</f>
      </c>
      <c r="U109" s="1">
        <f>ATTACKDAMAGE(IF(ISEVEN(COLUMN()),$B109,$C109),U$85,INT(balancing!$B$43/balancing!$B$33*U$85),CombatantLevelAttributeMod)</f>
      </c>
      <c r="V109" s="1">
        <f>ATTACKDAMAGE(IF(ISEVEN(COLUMN()),$B109,$C109),V$85,INT(balancing!$B$43/balancing!$B$33*V$85),CombatantLevelAttributeMod)</f>
      </c>
      <c r="W109" s="1">
        <f>ATTACKDAMAGE(IF(ISEVEN(COLUMN()),$B109,$C109),W$85,INT(balancing!$B$43/balancing!$B$33*W$85),CombatantLevelAttributeMod)</f>
      </c>
    </row>
    <row r="110" spans="1:23" x14ac:dyDescent="0.25">
      <c r="A110" s="3">
        <f>'equipment-weapons'!A26</f>
      </c>
      <c r="B110" s="3">
        <f>'equipment-weapons'!F26</f>
      </c>
      <c r="C110" s="3">
        <f>'equipment-weapons'!G26</f>
      </c>
      <c r="D110" s="1">
        <f>ATTACKDAMAGE(IF(ISEVEN(COLUMN()),$B110,$C110),D$85,INT(balancing!$B$43/balancing!$B$33*D$85),CombatantLevelAttributeMod)</f>
      </c>
      <c r="E110" s="1">
        <f>ATTACKDAMAGE(IF(ISEVEN(COLUMN()),$B110,$C110),E$85,INT(balancing!$B$43/balancing!$B$33*E$85),CombatantLevelAttributeMod)</f>
      </c>
      <c r="F110" s="1">
        <f>ATTACKDAMAGE(IF(ISEVEN(COLUMN()),$B110,$C110),F$85,INT(balancing!$B$43/balancing!$B$33*F$85),CombatantLevelAttributeMod)</f>
      </c>
      <c r="G110" s="1">
        <f>ATTACKDAMAGE(IF(ISEVEN(COLUMN()),$B110,$C110),G$85,INT(balancing!$B$43/balancing!$B$33*G$85),CombatantLevelAttributeMod)</f>
      </c>
      <c r="H110" s="1">
        <f>ATTACKDAMAGE(IF(ISEVEN(COLUMN()),$B110,$C110),H$85,INT(balancing!$B$43/balancing!$B$33*H$85),CombatantLevelAttributeMod)</f>
      </c>
      <c r="I110" s="1">
        <f>ATTACKDAMAGE(IF(ISEVEN(COLUMN()),$B110,$C110),I$85,INT(balancing!$B$43/balancing!$B$33*I$85),CombatantLevelAttributeMod)</f>
      </c>
      <c r="J110" s="1">
        <f>ATTACKDAMAGE(IF(ISEVEN(COLUMN()),$B110,$C110),J$85,INT(balancing!$B$43/balancing!$B$33*J$85),CombatantLevelAttributeMod)</f>
      </c>
      <c r="K110" s="1">
        <f>ATTACKDAMAGE(IF(ISEVEN(COLUMN()),$B110,$C110),K$85,INT(balancing!$B$43/balancing!$B$33*K$85),CombatantLevelAttributeMod)</f>
      </c>
      <c r="L110" s="1">
        <f>ATTACKDAMAGE(IF(ISEVEN(COLUMN()),$B110,$C110),L$85,INT(balancing!$B$43/balancing!$B$33*L$85),CombatantLevelAttributeMod)</f>
      </c>
      <c r="M110" s="1">
        <f>ATTACKDAMAGE(IF(ISEVEN(COLUMN()),$B110,$C110),M$85,INT(balancing!$B$43/balancing!$B$33*M$85),CombatantLevelAttributeMod)</f>
      </c>
      <c r="N110" s="1">
        <f>ATTACKDAMAGE(IF(ISEVEN(COLUMN()),$B110,$C110),N$85,INT(balancing!$B$43/balancing!$B$33*N$85),CombatantLevelAttributeMod)</f>
      </c>
      <c r="O110" s="1">
        <f>ATTACKDAMAGE(IF(ISEVEN(COLUMN()),$B110,$C110),O$85,INT(balancing!$B$43/balancing!$B$33*O$85),CombatantLevelAttributeMod)</f>
      </c>
      <c r="P110" s="1">
        <f>ATTACKDAMAGE(IF(ISEVEN(COLUMN()),$B110,$C110),P$85,INT(balancing!$B$43/balancing!$B$33*P$85),CombatantLevelAttributeMod)</f>
      </c>
      <c r="Q110" s="1">
        <f>ATTACKDAMAGE(IF(ISEVEN(COLUMN()),$B110,$C110),Q$85,INT(balancing!$B$43/balancing!$B$33*Q$85),CombatantLevelAttributeMod)</f>
      </c>
      <c r="R110" s="1">
        <f>ATTACKDAMAGE(IF(ISEVEN(COLUMN()),$B110,$C110),R$85,INT(balancing!$B$43/balancing!$B$33*R$85),CombatantLevelAttributeMod)</f>
      </c>
      <c r="S110" s="1">
        <f>ATTACKDAMAGE(IF(ISEVEN(COLUMN()),$B110,$C110),S$85,INT(balancing!$B$43/balancing!$B$33*S$85),CombatantLevelAttributeMod)</f>
      </c>
      <c r="T110" s="1">
        <f>ATTACKDAMAGE(IF(ISEVEN(COLUMN()),$B110,$C110),T$85,INT(balancing!$B$43/balancing!$B$33*T$85),CombatantLevelAttributeMod)</f>
      </c>
      <c r="U110" s="1">
        <f>ATTACKDAMAGE(IF(ISEVEN(COLUMN()),$B110,$C110),U$85,INT(balancing!$B$43/balancing!$B$33*U$85),CombatantLevelAttributeMod)</f>
      </c>
      <c r="V110" s="1">
        <f>ATTACKDAMAGE(IF(ISEVEN(COLUMN()),$B110,$C110),V$85,INT(balancing!$B$43/balancing!$B$33*V$85),CombatantLevelAttributeMod)</f>
      </c>
      <c r="W110" s="1">
        <f>ATTACKDAMAGE(IF(ISEVEN(COLUMN()),$B110,$C110),W$85,INT(balancing!$B$43/balancing!$B$33*W$85),CombatantLevelAttributeMod)</f>
      </c>
    </row>
    <row r="111" spans="1:23" x14ac:dyDescent="0.25">
      <c r="A111" s="3">
        <f>'equipment-weapons'!A27</f>
      </c>
      <c r="B111" s="3">
        <f>'equipment-weapons'!F27</f>
      </c>
      <c r="C111" s="3">
        <f>'equipment-weapons'!G27</f>
      </c>
      <c r="D111" s="1">
        <f>ATTACKDAMAGE(IF(ISEVEN(COLUMN()),$B111,$C111),D$85,INT(balancing!$B$43/balancing!$B$33*D$85),CombatantLevelAttributeMod)</f>
      </c>
      <c r="E111" s="1">
        <f>ATTACKDAMAGE(IF(ISEVEN(COLUMN()),$B111,$C111),E$85,INT(balancing!$B$43/balancing!$B$33*E$85),CombatantLevelAttributeMod)</f>
      </c>
      <c r="F111" s="1">
        <f>ATTACKDAMAGE(IF(ISEVEN(COLUMN()),$B111,$C111),F$85,INT(balancing!$B$43/balancing!$B$33*F$85),CombatantLevelAttributeMod)</f>
      </c>
      <c r="G111" s="1">
        <f>ATTACKDAMAGE(IF(ISEVEN(COLUMN()),$B111,$C111),G$85,INT(balancing!$B$43/balancing!$B$33*G$85),CombatantLevelAttributeMod)</f>
      </c>
      <c r="H111" s="1">
        <f>ATTACKDAMAGE(IF(ISEVEN(COLUMN()),$B111,$C111),H$85,INT(balancing!$B$43/balancing!$B$33*H$85),CombatantLevelAttributeMod)</f>
      </c>
      <c r="I111" s="1">
        <f>ATTACKDAMAGE(IF(ISEVEN(COLUMN()),$B111,$C111),I$85,INT(balancing!$B$43/balancing!$B$33*I$85),CombatantLevelAttributeMod)</f>
      </c>
      <c r="J111" s="1">
        <f>ATTACKDAMAGE(IF(ISEVEN(COLUMN()),$B111,$C111),J$85,INT(balancing!$B$43/balancing!$B$33*J$85),CombatantLevelAttributeMod)</f>
      </c>
      <c r="K111" s="1">
        <f>ATTACKDAMAGE(IF(ISEVEN(COLUMN()),$B111,$C111),K$85,INT(balancing!$B$43/balancing!$B$33*K$85),CombatantLevelAttributeMod)</f>
      </c>
      <c r="L111" s="1">
        <f>ATTACKDAMAGE(IF(ISEVEN(COLUMN()),$B111,$C111),L$85,INT(balancing!$B$43/balancing!$B$33*L$85),CombatantLevelAttributeMod)</f>
      </c>
      <c r="M111" s="1">
        <f>ATTACKDAMAGE(IF(ISEVEN(COLUMN()),$B111,$C111),M$85,INT(balancing!$B$43/balancing!$B$33*M$85),CombatantLevelAttributeMod)</f>
      </c>
      <c r="N111" s="1">
        <f>ATTACKDAMAGE(IF(ISEVEN(COLUMN()),$B111,$C111),N$85,INT(balancing!$B$43/balancing!$B$33*N$85),CombatantLevelAttributeMod)</f>
      </c>
      <c r="O111" s="1">
        <f>ATTACKDAMAGE(IF(ISEVEN(COLUMN()),$B111,$C111),O$85,INT(balancing!$B$43/balancing!$B$33*O$85),CombatantLevelAttributeMod)</f>
      </c>
      <c r="P111" s="1">
        <f>ATTACKDAMAGE(IF(ISEVEN(COLUMN()),$B111,$C111),P$85,INT(balancing!$B$43/balancing!$B$33*P$85),CombatantLevelAttributeMod)</f>
      </c>
      <c r="Q111" s="1">
        <f>ATTACKDAMAGE(IF(ISEVEN(COLUMN()),$B111,$C111),Q$85,INT(balancing!$B$43/balancing!$B$33*Q$85),CombatantLevelAttributeMod)</f>
      </c>
      <c r="R111" s="1">
        <f>ATTACKDAMAGE(IF(ISEVEN(COLUMN()),$B111,$C111),R$85,INT(balancing!$B$43/balancing!$B$33*R$85),CombatantLevelAttributeMod)</f>
      </c>
      <c r="S111" s="1">
        <f>ATTACKDAMAGE(IF(ISEVEN(COLUMN()),$B111,$C111),S$85,INT(balancing!$B$43/balancing!$B$33*S$85),CombatantLevelAttributeMod)</f>
      </c>
      <c r="T111" s="1">
        <f>ATTACKDAMAGE(IF(ISEVEN(COLUMN()),$B111,$C111),T$85,INT(balancing!$B$43/balancing!$B$33*T$85),CombatantLevelAttributeMod)</f>
      </c>
      <c r="U111" s="1">
        <f>ATTACKDAMAGE(IF(ISEVEN(COLUMN()),$B111,$C111),U$85,INT(balancing!$B$43/balancing!$B$33*U$85),CombatantLevelAttributeMod)</f>
      </c>
      <c r="V111" s="1">
        <f>ATTACKDAMAGE(IF(ISEVEN(COLUMN()),$B111,$C111),V$85,INT(balancing!$B$43/balancing!$B$33*V$85),CombatantLevelAttributeMod)</f>
      </c>
      <c r="W111" s="1">
        <f>ATTACKDAMAGE(IF(ISEVEN(COLUMN()),$B111,$C111),W$85,INT(balancing!$B$43/balancing!$B$33*W$85),CombatantLevelAttributeMod)</f>
      </c>
    </row>
    <row r="112" spans="1:23" x14ac:dyDescent="0.25">
      <c r="A112" s="3">
        <f>'equipment-weapons'!A28</f>
      </c>
      <c r="B112" s="3">
        <f>'equipment-weapons'!F28</f>
      </c>
      <c r="C112" s="3">
        <f>'equipment-weapons'!G28</f>
      </c>
      <c r="D112" s="1">
        <f>ATTACKDAMAGE(IF(ISEVEN(COLUMN()),$B112,$C112),D$85,INT(balancing!$B$43/balancing!$B$33*D$85),CombatantLevelAttributeMod)</f>
      </c>
      <c r="E112" s="1">
        <f>ATTACKDAMAGE(IF(ISEVEN(COLUMN()),$B112,$C112),E$85,INT(balancing!$B$43/balancing!$B$33*E$85),CombatantLevelAttributeMod)</f>
      </c>
      <c r="F112" s="1">
        <f>ATTACKDAMAGE(IF(ISEVEN(COLUMN()),$B112,$C112),F$85,INT(balancing!$B$43/balancing!$B$33*F$85),CombatantLevelAttributeMod)</f>
      </c>
      <c r="G112" s="1">
        <f>ATTACKDAMAGE(IF(ISEVEN(COLUMN()),$B112,$C112),G$85,INT(balancing!$B$43/balancing!$B$33*G$85),CombatantLevelAttributeMod)</f>
      </c>
      <c r="H112" s="1">
        <f>ATTACKDAMAGE(IF(ISEVEN(COLUMN()),$B112,$C112),H$85,INT(balancing!$B$43/balancing!$B$33*H$85),CombatantLevelAttributeMod)</f>
      </c>
      <c r="I112" s="1">
        <f>ATTACKDAMAGE(IF(ISEVEN(COLUMN()),$B112,$C112),I$85,INT(balancing!$B$43/balancing!$B$33*I$85),CombatantLevelAttributeMod)</f>
      </c>
      <c r="J112" s="1">
        <f>ATTACKDAMAGE(IF(ISEVEN(COLUMN()),$B112,$C112),J$85,INT(balancing!$B$43/balancing!$B$33*J$85),CombatantLevelAttributeMod)</f>
      </c>
      <c r="K112" s="1">
        <f>ATTACKDAMAGE(IF(ISEVEN(COLUMN()),$B112,$C112),K$85,INT(balancing!$B$43/balancing!$B$33*K$85),CombatantLevelAttributeMod)</f>
      </c>
      <c r="L112" s="1">
        <f>ATTACKDAMAGE(IF(ISEVEN(COLUMN()),$B112,$C112),L$85,INT(balancing!$B$43/balancing!$B$33*L$85),CombatantLevelAttributeMod)</f>
      </c>
      <c r="M112" s="1">
        <f>ATTACKDAMAGE(IF(ISEVEN(COLUMN()),$B112,$C112),M$85,INT(balancing!$B$43/balancing!$B$33*M$85),CombatantLevelAttributeMod)</f>
      </c>
      <c r="N112" s="1">
        <f>ATTACKDAMAGE(IF(ISEVEN(COLUMN()),$B112,$C112),N$85,INT(balancing!$B$43/balancing!$B$33*N$85),CombatantLevelAttributeMod)</f>
      </c>
      <c r="O112" s="1">
        <f>ATTACKDAMAGE(IF(ISEVEN(COLUMN()),$B112,$C112),O$85,INT(balancing!$B$43/balancing!$B$33*O$85),CombatantLevelAttributeMod)</f>
      </c>
      <c r="P112" s="1">
        <f>ATTACKDAMAGE(IF(ISEVEN(COLUMN()),$B112,$C112),P$85,INT(balancing!$B$43/balancing!$B$33*P$85),CombatantLevelAttributeMod)</f>
      </c>
      <c r="Q112" s="1">
        <f>ATTACKDAMAGE(IF(ISEVEN(COLUMN()),$B112,$C112),Q$85,INT(balancing!$B$43/balancing!$B$33*Q$85),CombatantLevelAttributeMod)</f>
      </c>
      <c r="R112" s="1">
        <f>ATTACKDAMAGE(IF(ISEVEN(COLUMN()),$B112,$C112),R$85,INT(balancing!$B$43/balancing!$B$33*R$85),CombatantLevelAttributeMod)</f>
      </c>
      <c r="S112" s="1">
        <f>ATTACKDAMAGE(IF(ISEVEN(COLUMN()),$B112,$C112),S$85,INT(balancing!$B$43/balancing!$B$33*S$85),CombatantLevelAttributeMod)</f>
      </c>
      <c r="T112" s="1">
        <f>ATTACKDAMAGE(IF(ISEVEN(COLUMN()),$B112,$C112),T$85,INT(balancing!$B$43/balancing!$B$33*T$85),CombatantLevelAttributeMod)</f>
      </c>
      <c r="U112" s="1">
        <f>ATTACKDAMAGE(IF(ISEVEN(COLUMN()),$B112,$C112),U$85,INT(balancing!$B$43/balancing!$B$33*U$85),CombatantLevelAttributeMod)</f>
      </c>
      <c r="V112" s="1">
        <f>ATTACKDAMAGE(IF(ISEVEN(COLUMN()),$B112,$C112),V$85,INT(balancing!$B$43/balancing!$B$33*V$85),CombatantLevelAttributeMod)</f>
      </c>
      <c r="W112" s="1">
        <f>ATTACKDAMAGE(IF(ISEVEN(COLUMN()),$B112,$C112),W$85,INT(balancing!$B$43/balancing!$B$33*W$85),CombatantLevelAttributeMod)</f>
      </c>
    </row>
    <row r="113" spans="1:23" x14ac:dyDescent="0.25">
      <c r="A113" s="3">
        <f>'equipment-weapons'!A29</f>
      </c>
      <c r="B113" s="3">
        <f>'equipment-weapons'!F29</f>
      </c>
      <c r="C113" s="3">
        <f>'equipment-weapons'!G29</f>
      </c>
      <c r="D113" s="1">
        <f>ATTACKDAMAGE(IF(ISEVEN(COLUMN()),$B113,$C113),D$85,INT(balancing!$B$43/balancing!$B$33*D$85),CombatantLevelAttributeMod)</f>
      </c>
      <c r="E113" s="1">
        <f>ATTACKDAMAGE(IF(ISEVEN(COLUMN()),$B113,$C113),E$85,INT(balancing!$B$43/balancing!$B$33*E$85),CombatantLevelAttributeMod)</f>
      </c>
      <c r="F113" s="1">
        <f>ATTACKDAMAGE(IF(ISEVEN(COLUMN()),$B113,$C113),F$85,INT(balancing!$B$43/balancing!$B$33*F$85),CombatantLevelAttributeMod)</f>
      </c>
      <c r="G113" s="1">
        <f>ATTACKDAMAGE(IF(ISEVEN(COLUMN()),$B113,$C113),G$85,INT(balancing!$B$43/balancing!$B$33*G$85),CombatantLevelAttributeMod)</f>
      </c>
      <c r="H113" s="1">
        <f>ATTACKDAMAGE(IF(ISEVEN(COLUMN()),$B113,$C113),H$85,INT(balancing!$B$43/balancing!$B$33*H$85),CombatantLevelAttributeMod)</f>
      </c>
      <c r="I113" s="1">
        <f>ATTACKDAMAGE(IF(ISEVEN(COLUMN()),$B113,$C113),I$85,INT(balancing!$B$43/balancing!$B$33*I$85),CombatantLevelAttributeMod)</f>
      </c>
      <c r="J113" s="1">
        <f>ATTACKDAMAGE(IF(ISEVEN(COLUMN()),$B113,$C113),J$85,INT(balancing!$B$43/balancing!$B$33*J$85),CombatantLevelAttributeMod)</f>
      </c>
      <c r="K113" s="1">
        <f>ATTACKDAMAGE(IF(ISEVEN(COLUMN()),$B113,$C113),K$85,INT(balancing!$B$43/balancing!$B$33*K$85),CombatantLevelAttributeMod)</f>
      </c>
      <c r="L113" s="1">
        <f>ATTACKDAMAGE(IF(ISEVEN(COLUMN()),$B113,$C113),L$85,INT(balancing!$B$43/balancing!$B$33*L$85),CombatantLevelAttributeMod)</f>
      </c>
      <c r="M113" s="1">
        <f>ATTACKDAMAGE(IF(ISEVEN(COLUMN()),$B113,$C113),M$85,INT(balancing!$B$43/balancing!$B$33*M$85),CombatantLevelAttributeMod)</f>
      </c>
      <c r="N113" s="1">
        <f>ATTACKDAMAGE(IF(ISEVEN(COLUMN()),$B113,$C113),N$85,INT(balancing!$B$43/balancing!$B$33*N$85),CombatantLevelAttributeMod)</f>
      </c>
      <c r="O113" s="1">
        <f>ATTACKDAMAGE(IF(ISEVEN(COLUMN()),$B113,$C113),O$85,INT(balancing!$B$43/balancing!$B$33*O$85),CombatantLevelAttributeMod)</f>
      </c>
      <c r="P113" s="1">
        <f>ATTACKDAMAGE(IF(ISEVEN(COLUMN()),$B113,$C113),P$85,INT(balancing!$B$43/balancing!$B$33*P$85),CombatantLevelAttributeMod)</f>
      </c>
      <c r="Q113" s="1">
        <f>ATTACKDAMAGE(IF(ISEVEN(COLUMN()),$B113,$C113),Q$85,INT(balancing!$B$43/balancing!$B$33*Q$85),CombatantLevelAttributeMod)</f>
      </c>
      <c r="R113" s="1">
        <f>ATTACKDAMAGE(IF(ISEVEN(COLUMN()),$B113,$C113),R$85,INT(balancing!$B$43/balancing!$B$33*R$85),CombatantLevelAttributeMod)</f>
      </c>
      <c r="S113" s="1">
        <f>ATTACKDAMAGE(IF(ISEVEN(COLUMN()),$B113,$C113),S$85,INT(balancing!$B$43/balancing!$B$33*S$85),CombatantLevelAttributeMod)</f>
      </c>
      <c r="T113" s="1">
        <f>ATTACKDAMAGE(IF(ISEVEN(COLUMN()),$B113,$C113),T$85,INT(balancing!$B$43/balancing!$B$33*T$85),CombatantLevelAttributeMod)</f>
      </c>
      <c r="U113" s="1">
        <f>ATTACKDAMAGE(IF(ISEVEN(COLUMN()),$B113,$C113),U$85,INT(balancing!$B$43/balancing!$B$33*U$85),CombatantLevelAttributeMod)</f>
      </c>
      <c r="V113" s="1">
        <f>ATTACKDAMAGE(IF(ISEVEN(COLUMN()),$B113,$C113),V$85,INT(balancing!$B$43/balancing!$B$33*V$85),CombatantLevelAttributeMod)</f>
      </c>
      <c r="W113" s="1">
        <f>ATTACKDAMAGE(IF(ISEVEN(COLUMN()),$B113,$C113),W$85,INT(balancing!$B$43/balancing!$B$33*W$85),CombatantLevelAttributeMod)</f>
      </c>
    </row>
    <row r="114" spans="1:23" x14ac:dyDescent="0.25">
      <c r="A114" s="3">
        <f>'equipment-weapons'!A30</f>
      </c>
      <c r="B114" s="3">
        <f>'equipment-weapons'!F30</f>
      </c>
      <c r="C114" s="3">
        <f>'equipment-weapons'!G30</f>
      </c>
      <c r="D114" s="1">
        <f>ATTACKDAMAGE(IF(ISEVEN(COLUMN()),$B114,$C114),D$85,INT(balancing!$B$43/balancing!$B$33*D$85),CombatantLevelAttributeMod)</f>
      </c>
      <c r="E114" s="1">
        <f>ATTACKDAMAGE(IF(ISEVEN(COLUMN()),$B114,$C114),E$85,INT(balancing!$B$43/balancing!$B$33*E$85),CombatantLevelAttributeMod)</f>
      </c>
      <c r="F114" s="1">
        <f>ATTACKDAMAGE(IF(ISEVEN(COLUMN()),$B114,$C114),F$85,INT(balancing!$B$43/balancing!$B$33*F$85),CombatantLevelAttributeMod)</f>
      </c>
      <c r="G114" s="1">
        <f>ATTACKDAMAGE(IF(ISEVEN(COLUMN()),$B114,$C114),G$85,INT(balancing!$B$43/balancing!$B$33*G$85),CombatantLevelAttributeMod)</f>
      </c>
      <c r="H114" s="1">
        <f>ATTACKDAMAGE(IF(ISEVEN(COLUMN()),$B114,$C114),H$85,INT(balancing!$B$43/balancing!$B$33*H$85),CombatantLevelAttributeMod)</f>
      </c>
      <c r="I114" s="1">
        <f>ATTACKDAMAGE(IF(ISEVEN(COLUMN()),$B114,$C114),I$85,INT(balancing!$B$43/balancing!$B$33*I$85),CombatantLevelAttributeMod)</f>
      </c>
      <c r="J114" s="1">
        <f>ATTACKDAMAGE(IF(ISEVEN(COLUMN()),$B114,$C114),J$85,INT(balancing!$B$43/balancing!$B$33*J$85),CombatantLevelAttributeMod)</f>
      </c>
      <c r="K114" s="1">
        <f>ATTACKDAMAGE(IF(ISEVEN(COLUMN()),$B114,$C114),K$85,INT(balancing!$B$43/balancing!$B$33*K$85),CombatantLevelAttributeMod)</f>
      </c>
      <c r="L114" s="1">
        <f>ATTACKDAMAGE(IF(ISEVEN(COLUMN()),$B114,$C114),L$85,INT(balancing!$B$43/balancing!$B$33*L$85),CombatantLevelAttributeMod)</f>
      </c>
      <c r="M114" s="1">
        <f>ATTACKDAMAGE(IF(ISEVEN(COLUMN()),$B114,$C114),M$85,INT(balancing!$B$43/balancing!$B$33*M$85),CombatantLevelAttributeMod)</f>
      </c>
      <c r="N114" s="1">
        <f>ATTACKDAMAGE(IF(ISEVEN(COLUMN()),$B114,$C114),N$85,INT(balancing!$B$43/balancing!$B$33*N$85),CombatantLevelAttributeMod)</f>
      </c>
      <c r="O114" s="1">
        <f>ATTACKDAMAGE(IF(ISEVEN(COLUMN()),$B114,$C114),O$85,INT(balancing!$B$43/balancing!$B$33*O$85),CombatantLevelAttributeMod)</f>
      </c>
      <c r="P114" s="1">
        <f>ATTACKDAMAGE(IF(ISEVEN(COLUMN()),$B114,$C114),P$85,INT(balancing!$B$43/balancing!$B$33*P$85),CombatantLevelAttributeMod)</f>
      </c>
      <c r="Q114" s="1">
        <f>ATTACKDAMAGE(IF(ISEVEN(COLUMN()),$B114,$C114),Q$85,INT(balancing!$B$43/balancing!$B$33*Q$85),CombatantLevelAttributeMod)</f>
      </c>
      <c r="R114" s="1">
        <f>ATTACKDAMAGE(IF(ISEVEN(COLUMN()),$B114,$C114),R$85,INT(balancing!$B$43/balancing!$B$33*R$85),CombatantLevelAttributeMod)</f>
      </c>
      <c r="S114" s="1">
        <f>ATTACKDAMAGE(IF(ISEVEN(COLUMN()),$B114,$C114),S$85,INT(balancing!$B$43/balancing!$B$33*S$85),CombatantLevelAttributeMod)</f>
      </c>
      <c r="T114" s="1">
        <f>ATTACKDAMAGE(IF(ISEVEN(COLUMN()),$B114,$C114),T$85,INT(balancing!$B$43/balancing!$B$33*T$85),CombatantLevelAttributeMod)</f>
      </c>
      <c r="U114" s="1">
        <f>ATTACKDAMAGE(IF(ISEVEN(COLUMN()),$B114,$C114),U$85,INT(balancing!$B$43/balancing!$B$33*U$85),CombatantLevelAttributeMod)</f>
      </c>
      <c r="V114" s="1">
        <f>ATTACKDAMAGE(IF(ISEVEN(COLUMN()),$B114,$C114),V$85,INT(balancing!$B$43/balancing!$B$33*V$85),CombatantLevelAttributeMod)</f>
      </c>
      <c r="W114" s="1">
        <f>ATTACKDAMAGE(IF(ISEVEN(COLUMN()),$B114,$C114),W$85,INT(balancing!$B$43/balancing!$B$33*W$85),CombatantLevelAttributeMod)</f>
      </c>
    </row>
    <row r="115" spans="1:23" x14ac:dyDescent="0.25">
      <c r="A115" s="3">
        <f>'equipment-weapons'!A31</f>
      </c>
      <c r="B115" s="3">
        <f>'equipment-weapons'!F31</f>
      </c>
      <c r="C115" s="3">
        <f>'equipment-weapons'!G31</f>
      </c>
      <c r="D115" s="1">
        <f>ATTACKDAMAGE(IF(ISEVEN(COLUMN()),$B115,$C115),D$85,INT(balancing!$B$43/balancing!$B$33*D$85),CombatantLevelAttributeMod)</f>
      </c>
      <c r="E115" s="1">
        <f>ATTACKDAMAGE(IF(ISEVEN(COLUMN()),$B115,$C115),E$85,INT(balancing!$B$43/balancing!$B$33*E$85),CombatantLevelAttributeMod)</f>
      </c>
      <c r="F115" s="1">
        <f>ATTACKDAMAGE(IF(ISEVEN(COLUMN()),$B115,$C115),F$85,INT(balancing!$B$43/balancing!$B$33*F$85),CombatantLevelAttributeMod)</f>
      </c>
      <c r="G115" s="1">
        <f>ATTACKDAMAGE(IF(ISEVEN(COLUMN()),$B115,$C115),G$85,INT(balancing!$B$43/balancing!$B$33*G$85),CombatantLevelAttributeMod)</f>
      </c>
      <c r="H115" s="1">
        <f>ATTACKDAMAGE(IF(ISEVEN(COLUMN()),$B115,$C115),H$85,INT(balancing!$B$43/balancing!$B$33*H$85),CombatantLevelAttributeMod)</f>
      </c>
      <c r="I115" s="1">
        <f>ATTACKDAMAGE(IF(ISEVEN(COLUMN()),$B115,$C115),I$85,INT(balancing!$B$43/balancing!$B$33*I$85),CombatantLevelAttributeMod)</f>
      </c>
      <c r="J115" s="1">
        <f>ATTACKDAMAGE(IF(ISEVEN(COLUMN()),$B115,$C115),J$85,INT(balancing!$B$43/balancing!$B$33*J$85),CombatantLevelAttributeMod)</f>
      </c>
      <c r="K115" s="1">
        <f>ATTACKDAMAGE(IF(ISEVEN(COLUMN()),$B115,$C115),K$85,INT(balancing!$B$43/balancing!$B$33*K$85),CombatantLevelAttributeMod)</f>
      </c>
      <c r="L115" s="1">
        <f>ATTACKDAMAGE(IF(ISEVEN(COLUMN()),$B115,$C115),L$85,INT(balancing!$B$43/balancing!$B$33*L$85),CombatantLevelAttributeMod)</f>
      </c>
      <c r="M115" s="1">
        <f>ATTACKDAMAGE(IF(ISEVEN(COLUMN()),$B115,$C115),M$85,INT(balancing!$B$43/balancing!$B$33*M$85),CombatantLevelAttributeMod)</f>
      </c>
      <c r="N115" s="1">
        <f>ATTACKDAMAGE(IF(ISEVEN(COLUMN()),$B115,$C115),N$85,INT(balancing!$B$43/balancing!$B$33*N$85),CombatantLevelAttributeMod)</f>
      </c>
      <c r="O115" s="1">
        <f>ATTACKDAMAGE(IF(ISEVEN(COLUMN()),$B115,$C115),O$85,INT(balancing!$B$43/balancing!$B$33*O$85),CombatantLevelAttributeMod)</f>
      </c>
      <c r="P115" s="1">
        <f>ATTACKDAMAGE(IF(ISEVEN(COLUMN()),$B115,$C115),P$85,INT(balancing!$B$43/balancing!$B$33*P$85),CombatantLevelAttributeMod)</f>
      </c>
      <c r="Q115" s="1">
        <f>ATTACKDAMAGE(IF(ISEVEN(COLUMN()),$B115,$C115),Q$85,INT(balancing!$B$43/balancing!$B$33*Q$85),CombatantLevelAttributeMod)</f>
      </c>
      <c r="R115" s="1">
        <f>ATTACKDAMAGE(IF(ISEVEN(COLUMN()),$B115,$C115),R$85,INT(balancing!$B$43/balancing!$B$33*R$85),CombatantLevelAttributeMod)</f>
      </c>
      <c r="S115" s="1">
        <f>ATTACKDAMAGE(IF(ISEVEN(COLUMN()),$B115,$C115),S$85,INT(balancing!$B$43/balancing!$B$33*S$85),CombatantLevelAttributeMod)</f>
      </c>
      <c r="T115" s="1">
        <f>ATTACKDAMAGE(IF(ISEVEN(COLUMN()),$B115,$C115),T$85,INT(balancing!$B$43/balancing!$B$33*T$85),CombatantLevelAttributeMod)</f>
      </c>
      <c r="U115" s="1">
        <f>ATTACKDAMAGE(IF(ISEVEN(COLUMN()),$B115,$C115),U$85,INT(balancing!$B$43/balancing!$B$33*U$85),CombatantLevelAttributeMod)</f>
      </c>
      <c r="V115" s="1">
        <f>ATTACKDAMAGE(IF(ISEVEN(COLUMN()),$B115,$C115),V$85,INT(balancing!$B$43/balancing!$B$33*V$85),CombatantLevelAttributeMod)</f>
      </c>
      <c r="W115" s="1">
        <f>ATTACKDAMAGE(IF(ISEVEN(COLUMN()),$B115,$C115),W$85,INT(balancing!$B$43/balancing!$B$33*W$85),CombatantLevelAttributeMod)</f>
      </c>
    </row>
    <row r="116" spans="1:23" x14ac:dyDescent="0.25">
      <c r="A116" s="3">
        <f>'equipment-weapons'!A32</f>
      </c>
      <c r="B116" s="3">
        <f>'equipment-weapons'!F32</f>
      </c>
      <c r="C116" s="3">
        <f>'equipment-weapons'!G32</f>
      </c>
      <c r="D116" s="1">
        <f>ATTACKDAMAGE(IF(ISEVEN(COLUMN()),$B116,$C116),D$85,INT(balancing!$B$43/balancing!$B$33*D$85),CombatantLevelAttributeMod)</f>
      </c>
      <c r="E116" s="1">
        <f>ATTACKDAMAGE(IF(ISEVEN(COLUMN()),$B116,$C116),E$85,INT(balancing!$B$43/balancing!$B$33*E$85),CombatantLevelAttributeMod)</f>
      </c>
      <c r="F116" s="1">
        <f>ATTACKDAMAGE(IF(ISEVEN(COLUMN()),$B116,$C116),F$85,INT(balancing!$B$43/balancing!$B$33*F$85),CombatantLevelAttributeMod)</f>
      </c>
      <c r="G116" s="1">
        <f>ATTACKDAMAGE(IF(ISEVEN(COLUMN()),$B116,$C116),G$85,INT(balancing!$B$43/balancing!$B$33*G$85),CombatantLevelAttributeMod)</f>
      </c>
      <c r="H116" s="1">
        <f>ATTACKDAMAGE(IF(ISEVEN(COLUMN()),$B116,$C116),H$85,INT(balancing!$B$43/balancing!$B$33*H$85),CombatantLevelAttributeMod)</f>
      </c>
      <c r="I116" s="1">
        <f>ATTACKDAMAGE(IF(ISEVEN(COLUMN()),$B116,$C116),I$85,INT(balancing!$B$43/balancing!$B$33*I$85),CombatantLevelAttributeMod)</f>
      </c>
      <c r="J116" s="1">
        <f>ATTACKDAMAGE(IF(ISEVEN(COLUMN()),$B116,$C116),J$85,INT(balancing!$B$43/balancing!$B$33*J$85),CombatantLevelAttributeMod)</f>
      </c>
      <c r="K116" s="1">
        <f>ATTACKDAMAGE(IF(ISEVEN(COLUMN()),$B116,$C116),K$85,INT(balancing!$B$43/balancing!$B$33*K$85),CombatantLevelAttributeMod)</f>
      </c>
      <c r="L116" s="1">
        <f>ATTACKDAMAGE(IF(ISEVEN(COLUMN()),$B116,$C116),L$85,INT(balancing!$B$43/balancing!$B$33*L$85),CombatantLevelAttributeMod)</f>
      </c>
      <c r="M116" s="1">
        <f>ATTACKDAMAGE(IF(ISEVEN(COLUMN()),$B116,$C116),M$85,INT(balancing!$B$43/balancing!$B$33*M$85),CombatantLevelAttributeMod)</f>
      </c>
      <c r="N116" s="1">
        <f>ATTACKDAMAGE(IF(ISEVEN(COLUMN()),$B116,$C116),N$85,INT(balancing!$B$43/balancing!$B$33*N$85),CombatantLevelAttributeMod)</f>
      </c>
      <c r="O116" s="1">
        <f>ATTACKDAMAGE(IF(ISEVEN(COLUMN()),$B116,$C116),O$85,INT(balancing!$B$43/balancing!$B$33*O$85),CombatantLevelAttributeMod)</f>
      </c>
      <c r="P116" s="1">
        <f>ATTACKDAMAGE(IF(ISEVEN(COLUMN()),$B116,$C116),P$85,INT(balancing!$B$43/balancing!$B$33*P$85),CombatantLevelAttributeMod)</f>
      </c>
      <c r="Q116" s="1">
        <f>ATTACKDAMAGE(IF(ISEVEN(COLUMN()),$B116,$C116),Q$85,INT(balancing!$B$43/balancing!$B$33*Q$85),CombatantLevelAttributeMod)</f>
      </c>
      <c r="R116" s="1">
        <f>ATTACKDAMAGE(IF(ISEVEN(COLUMN()),$B116,$C116),R$85,INT(balancing!$B$43/balancing!$B$33*R$85),CombatantLevelAttributeMod)</f>
      </c>
      <c r="S116" s="1">
        <f>ATTACKDAMAGE(IF(ISEVEN(COLUMN()),$B116,$C116),S$85,INT(balancing!$B$43/balancing!$B$33*S$85),CombatantLevelAttributeMod)</f>
      </c>
      <c r="T116" s="1">
        <f>ATTACKDAMAGE(IF(ISEVEN(COLUMN()),$B116,$C116),T$85,INT(balancing!$B$43/balancing!$B$33*T$85),CombatantLevelAttributeMod)</f>
      </c>
      <c r="U116" s="1">
        <f>ATTACKDAMAGE(IF(ISEVEN(COLUMN()),$B116,$C116),U$85,INT(balancing!$B$43/balancing!$B$33*U$85),CombatantLevelAttributeMod)</f>
      </c>
      <c r="V116" s="1">
        <f>ATTACKDAMAGE(IF(ISEVEN(COLUMN()),$B116,$C116),V$85,INT(balancing!$B$43/balancing!$B$33*V$85),CombatantLevelAttributeMod)</f>
      </c>
      <c r="W116" s="1">
        <f>ATTACKDAMAGE(IF(ISEVEN(COLUMN()),$B116,$C116),W$85,INT(balancing!$B$43/balancing!$B$33*W$85),CombatantLevelAttributeMod)</f>
      </c>
    </row>
    <row r="117" spans="1:23" x14ac:dyDescent="0.25">
      <c r="A117" s="3">
        <f>'equipment-weapons'!A33</f>
      </c>
      <c r="B117" s="3">
        <f>'equipment-weapons'!F33</f>
      </c>
      <c r="C117" s="3">
        <f>'equipment-weapons'!G33</f>
      </c>
      <c r="D117" s="1">
        <f>ATTACKDAMAGE(IF(ISEVEN(COLUMN()),$B117,$C117),D$85,INT(balancing!$B$43/balancing!$B$33*D$85),CombatantLevelAttributeMod)</f>
      </c>
      <c r="E117" s="1">
        <f>ATTACKDAMAGE(IF(ISEVEN(COLUMN()),$B117,$C117),E$85,INT(balancing!$B$43/balancing!$B$33*E$85),CombatantLevelAttributeMod)</f>
      </c>
      <c r="F117" s="1">
        <f>ATTACKDAMAGE(IF(ISEVEN(COLUMN()),$B117,$C117),F$85,INT(balancing!$B$43/balancing!$B$33*F$85),CombatantLevelAttributeMod)</f>
      </c>
      <c r="G117" s="1">
        <f>ATTACKDAMAGE(IF(ISEVEN(COLUMN()),$B117,$C117),G$85,INT(balancing!$B$43/balancing!$B$33*G$85),CombatantLevelAttributeMod)</f>
      </c>
      <c r="H117" s="1">
        <f>ATTACKDAMAGE(IF(ISEVEN(COLUMN()),$B117,$C117),H$85,INT(balancing!$B$43/balancing!$B$33*H$85),CombatantLevelAttributeMod)</f>
      </c>
      <c r="I117" s="1">
        <f>ATTACKDAMAGE(IF(ISEVEN(COLUMN()),$B117,$C117),I$85,INT(balancing!$B$43/balancing!$B$33*I$85),CombatantLevelAttributeMod)</f>
      </c>
      <c r="J117" s="1">
        <f>ATTACKDAMAGE(IF(ISEVEN(COLUMN()),$B117,$C117),J$85,INT(balancing!$B$43/balancing!$B$33*J$85),CombatantLevelAttributeMod)</f>
      </c>
      <c r="K117" s="1">
        <f>ATTACKDAMAGE(IF(ISEVEN(COLUMN()),$B117,$C117),K$85,INT(balancing!$B$43/balancing!$B$33*K$85),CombatantLevelAttributeMod)</f>
      </c>
      <c r="L117" s="1">
        <f>ATTACKDAMAGE(IF(ISEVEN(COLUMN()),$B117,$C117),L$85,INT(balancing!$B$43/balancing!$B$33*L$85),CombatantLevelAttributeMod)</f>
      </c>
      <c r="M117" s="1">
        <f>ATTACKDAMAGE(IF(ISEVEN(COLUMN()),$B117,$C117),M$85,INT(balancing!$B$43/balancing!$B$33*M$85),CombatantLevelAttributeMod)</f>
      </c>
      <c r="N117" s="1">
        <f>ATTACKDAMAGE(IF(ISEVEN(COLUMN()),$B117,$C117),N$85,INT(balancing!$B$43/balancing!$B$33*N$85),CombatantLevelAttributeMod)</f>
      </c>
      <c r="O117" s="1">
        <f>ATTACKDAMAGE(IF(ISEVEN(COLUMN()),$B117,$C117),O$85,INT(balancing!$B$43/balancing!$B$33*O$85),CombatantLevelAttributeMod)</f>
      </c>
      <c r="P117" s="1">
        <f>ATTACKDAMAGE(IF(ISEVEN(COLUMN()),$B117,$C117),P$85,INT(balancing!$B$43/balancing!$B$33*P$85),CombatantLevelAttributeMod)</f>
      </c>
      <c r="Q117" s="1">
        <f>ATTACKDAMAGE(IF(ISEVEN(COLUMN()),$B117,$C117),Q$85,INT(balancing!$B$43/balancing!$B$33*Q$85),CombatantLevelAttributeMod)</f>
      </c>
      <c r="R117" s="1">
        <f>ATTACKDAMAGE(IF(ISEVEN(COLUMN()),$B117,$C117),R$85,INT(balancing!$B$43/balancing!$B$33*R$85),CombatantLevelAttributeMod)</f>
      </c>
      <c r="S117" s="1">
        <f>ATTACKDAMAGE(IF(ISEVEN(COLUMN()),$B117,$C117),S$85,INT(balancing!$B$43/balancing!$B$33*S$85),CombatantLevelAttributeMod)</f>
      </c>
      <c r="T117" s="1">
        <f>ATTACKDAMAGE(IF(ISEVEN(COLUMN()),$B117,$C117),T$85,INT(balancing!$B$43/balancing!$B$33*T$85),CombatantLevelAttributeMod)</f>
      </c>
      <c r="U117" s="1">
        <f>ATTACKDAMAGE(IF(ISEVEN(COLUMN()),$B117,$C117),U$85,INT(balancing!$B$43/balancing!$B$33*U$85),CombatantLevelAttributeMod)</f>
      </c>
      <c r="V117" s="1">
        <f>ATTACKDAMAGE(IF(ISEVEN(COLUMN()),$B117,$C117),V$85,INT(balancing!$B$43/balancing!$B$33*V$85),CombatantLevelAttributeMod)</f>
      </c>
      <c r="W117" s="1">
        <f>ATTACKDAMAGE(IF(ISEVEN(COLUMN()),$B117,$C117),W$85,INT(balancing!$B$43/balancing!$B$33*W$85),CombatantLevelAttributeMod)</f>
      </c>
    </row>
    <row r="118" spans="1:23" x14ac:dyDescent="0.25">
      <c r="A118" s="3">
        <f>'equipment-weapons'!A34</f>
      </c>
      <c r="B118" s="3">
        <f>'equipment-weapons'!F34</f>
      </c>
      <c r="C118" s="3">
        <f>'equipment-weapons'!G34</f>
      </c>
      <c r="D118" s="1">
        <f>ATTACKDAMAGE(IF(ISEVEN(COLUMN()),$B118,$C118),D$85,INT(balancing!$B$43/balancing!$B$33*D$85),CombatantLevelAttributeMod)</f>
      </c>
      <c r="E118" s="1">
        <f>ATTACKDAMAGE(IF(ISEVEN(COLUMN()),$B118,$C118),E$85,INT(balancing!$B$43/balancing!$B$33*E$85),CombatantLevelAttributeMod)</f>
      </c>
      <c r="F118" s="1">
        <f>ATTACKDAMAGE(IF(ISEVEN(COLUMN()),$B118,$C118),F$85,INT(balancing!$B$43/balancing!$B$33*F$85),CombatantLevelAttributeMod)</f>
      </c>
      <c r="G118" s="1">
        <f>ATTACKDAMAGE(IF(ISEVEN(COLUMN()),$B118,$C118),G$85,INT(balancing!$B$43/balancing!$B$33*G$85),CombatantLevelAttributeMod)</f>
      </c>
      <c r="H118" s="1">
        <f>ATTACKDAMAGE(IF(ISEVEN(COLUMN()),$B118,$C118),H$85,INT(balancing!$B$43/balancing!$B$33*H$85),CombatantLevelAttributeMod)</f>
      </c>
      <c r="I118" s="1">
        <f>ATTACKDAMAGE(IF(ISEVEN(COLUMN()),$B118,$C118),I$85,INT(balancing!$B$43/balancing!$B$33*I$85),CombatantLevelAttributeMod)</f>
      </c>
      <c r="J118" s="1">
        <f>ATTACKDAMAGE(IF(ISEVEN(COLUMN()),$B118,$C118),J$85,INT(balancing!$B$43/balancing!$B$33*J$85),CombatantLevelAttributeMod)</f>
      </c>
      <c r="K118" s="1">
        <f>ATTACKDAMAGE(IF(ISEVEN(COLUMN()),$B118,$C118),K$85,INT(balancing!$B$43/balancing!$B$33*K$85),CombatantLevelAttributeMod)</f>
      </c>
      <c r="L118" s="1">
        <f>ATTACKDAMAGE(IF(ISEVEN(COLUMN()),$B118,$C118),L$85,INT(balancing!$B$43/balancing!$B$33*L$85),CombatantLevelAttributeMod)</f>
      </c>
      <c r="M118" s="1">
        <f>ATTACKDAMAGE(IF(ISEVEN(COLUMN()),$B118,$C118),M$85,INT(balancing!$B$43/balancing!$B$33*M$85),CombatantLevelAttributeMod)</f>
      </c>
      <c r="N118" s="1">
        <f>ATTACKDAMAGE(IF(ISEVEN(COLUMN()),$B118,$C118),N$85,INT(balancing!$B$43/balancing!$B$33*N$85),CombatantLevelAttributeMod)</f>
      </c>
      <c r="O118" s="1">
        <f>ATTACKDAMAGE(IF(ISEVEN(COLUMN()),$B118,$C118),O$85,INT(balancing!$B$43/balancing!$B$33*O$85),CombatantLevelAttributeMod)</f>
      </c>
      <c r="P118" s="1">
        <f>ATTACKDAMAGE(IF(ISEVEN(COLUMN()),$B118,$C118),P$85,INT(balancing!$B$43/balancing!$B$33*P$85),CombatantLevelAttributeMod)</f>
      </c>
      <c r="Q118" s="1">
        <f>ATTACKDAMAGE(IF(ISEVEN(COLUMN()),$B118,$C118),Q$85,INT(balancing!$B$43/balancing!$B$33*Q$85),CombatantLevelAttributeMod)</f>
      </c>
      <c r="R118" s="1">
        <f>ATTACKDAMAGE(IF(ISEVEN(COLUMN()),$B118,$C118),R$85,INT(balancing!$B$43/balancing!$B$33*R$85),CombatantLevelAttributeMod)</f>
      </c>
      <c r="S118" s="1">
        <f>ATTACKDAMAGE(IF(ISEVEN(COLUMN()),$B118,$C118),S$85,INT(balancing!$B$43/balancing!$B$33*S$85),CombatantLevelAttributeMod)</f>
      </c>
      <c r="T118" s="1">
        <f>ATTACKDAMAGE(IF(ISEVEN(COLUMN()),$B118,$C118),T$85,INT(balancing!$B$43/balancing!$B$33*T$85),CombatantLevelAttributeMod)</f>
      </c>
      <c r="U118" s="1">
        <f>ATTACKDAMAGE(IF(ISEVEN(COLUMN()),$B118,$C118),U$85,INT(balancing!$B$43/balancing!$B$33*U$85),CombatantLevelAttributeMod)</f>
      </c>
      <c r="V118" s="1">
        <f>ATTACKDAMAGE(IF(ISEVEN(COLUMN()),$B118,$C118),V$85,INT(balancing!$B$43/balancing!$B$33*V$85),CombatantLevelAttributeMod)</f>
      </c>
      <c r="W118" s="1">
        <f>ATTACKDAMAGE(IF(ISEVEN(COLUMN()),$B118,$C118),W$85,INT(balancing!$B$43/balancing!$B$33*W$85),CombatantLevelAttributeMod)</f>
      </c>
    </row>
    <row r="119" spans="1:23" x14ac:dyDescent="0.25">
      <c r="A119" s="3">
        <f>'equipment-weapons'!A35</f>
      </c>
      <c r="B119" s="3">
        <f>'equipment-weapons'!F35</f>
      </c>
      <c r="C119" s="3">
        <f>'equipment-weapons'!G35</f>
      </c>
      <c r="D119" s="1">
        <f>ATTACKDAMAGE(IF(ISEVEN(COLUMN()),$B119,$C119),D$85,INT(balancing!$B$43/balancing!$B$33*D$85),CombatantLevelAttributeMod)</f>
      </c>
      <c r="E119" s="1">
        <f>ATTACKDAMAGE(IF(ISEVEN(COLUMN()),$B119,$C119),E$85,INT(balancing!$B$43/balancing!$B$33*E$85),CombatantLevelAttributeMod)</f>
      </c>
      <c r="F119" s="1">
        <f>ATTACKDAMAGE(IF(ISEVEN(COLUMN()),$B119,$C119),F$85,INT(balancing!$B$43/balancing!$B$33*F$85),CombatantLevelAttributeMod)</f>
      </c>
      <c r="G119" s="1">
        <f>ATTACKDAMAGE(IF(ISEVEN(COLUMN()),$B119,$C119),G$85,INT(balancing!$B$43/balancing!$B$33*G$85),CombatantLevelAttributeMod)</f>
      </c>
      <c r="H119" s="1">
        <f>ATTACKDAMAGE(IF(ISEVEN(COLUMN()),$B119,$C119),H$85,INT(balancing!$B$43/balancing!$B$33*H$85),CombatantLevelAttributeMod)</f>
      </c>
      <c r="I119" s="1">
        <f>ATTACKDAMAGE(IF(ISEVEN(COLUMN()),$B119,$C119),I$85,INT(balancing!$B$43/balancing!$B$33*I$85),CombatantLevelAttributeMod)</f>
      </c>
      <c r="J119" s="1">
        <f>ATTACKDAMAGE(IF(ISEVEN(COLUMN()),$B119,$C119),J$85,INT(balancing!$B$43/balancing!$B$33*J$85),CombatantLevelAttributeMod)</f>
      </c>
      <c r="K119" s="1">
        <f>ATTACKDAMAGE(IF(ISEVEN(COLUMN()),$B119,$C119),K$85,INT(balancing!$B$43/balancing!$B$33*K$85),CombatantLevelAttributeMod)</f>
      </c>
      <c r="L119" s="1">
        <f>ATTACKDAMAGE(IF(ISEVEN(COLUMN()),$B119,$C119),L$85,INT(balancing!$B$43/balancing!$B$33*L$85),CombatantLevelAttributeMod)</f>
      </c>
      <c r="M119" s="1">
        <f>ATTACKDAMAGE(IF(ISEVEN(COLUMN()),$B119,$C119),M$85,INT(balancing!$B$43/balancing!$B$33*M$85),CombatantLevelAttributeMod)</f>
      </c>
      <c r="N119" s="1">
        <f>ATTACKDAMAGE(IF(ISEVEN(COLUMN()),$B119,$C119),N$85,INT(balancing!$B$43/balancing!$B$33*N$85),CombatantLevelAttributeMod)</f>
      </c>
      <c r="O119" s="1">
        <f>ATTACKDAMAGE(IF(ISEVEN(COLUMN()),$B119,$C119),O$85,INT(balancing!$B$43/balancing!$B$33*O$85),CombatantLevelAttributeMod)</f>
      </c>
      <c r="P119" s="1">
        <f>ATTACKDAMAGE(IF(ISEVEN(COLUMN()),$B119,$C119),P$85,INT(balancing!$B$43/balancing!$B$33*P$85),CombatantLevelAttributeMod)</f>
      </c>
      <c r="Q119" s="1">
        <f>ATTACKDAMAGE(IF(ISEVEN(COLUMN()),$B119,$C119),Q$85,INT(balancing!$B$43/balancing!$B$33*Q$85),CombatantLevelAttributeMod)</f>
      </c>
      <c r="R119" s="1">
        <f>ATTACKDAMAGE(IF(ISEVEN(COLUMN()),$B119,$C119),R$85,INT(balancing!$B$43/balancing!$B$33*R$85),CombatantLevelAttributeMod)</f>
      </c>
      <c r="S119" s="1">
        <f>ATTACKDAMAGE(IF(ISEVEN(COLUMN()),$B119,$C119),S$85,INT(balancing!$B$43/balancing!$B$33*S$85),CombatantLevelAttributeMod)</f>
      </c>
      <c r="T119" s="1">
        <f>ATTACKDAMAGE(IF(ISEVEN(COLUMN()),$B119,$C119),T$85,INT(balancing!$B$43/balancing!$B$33*T$85),CombatantLevelAttributeMod)</f>
      </c>
      <c r="U119" s="1">
        <f>ATTACKDAMAGE(IF(ISEVEN(COLUMN()),$B119,$C119),U$85,INT(balancing!$B$43/balancing!$B$33*U$85),CombatantLevelAttributeMod)</f>
      </c>
      <c r="V119" s="1">
        <f>ATTACKDAMAGE(IF(ISEVEN(COLUMN()),$B119,$C119),V$85,INT(balancing!$B$43/balancing!$B$33*V$85),CombatantLevelAttributeMod)</f>
      </c>
      <c r="W119" s="1">
        <f>ATTACKDAMAGE(IF(ISEVEN(COLUMN()),$B119,$C119),W$85,INT(balancing!$B$43/balancing!$B$33*W$85),CombatantLevelAttributeMod)</f>
      </c>
    </row>
    <row r="120" spans="1:23" x14ac:dyDescent="0.25">
      <c r="A120" s="3">
        <f>'equipment-weapons'!A36</f>
      </c>
      <c r="B120" s="3">
        <f>'equipment-weapons'!F36</f>
      </c>
      <c r="C120" s="3">
        <f>'equipment-weapons'!G36</f>
      </c>
      <c r="D120" s="1">
        <f>ATTACKDAMAGE(IF(ISEVEN(COLUMN()),$B120,$C120),D$85,INT(balancing!$B$43/balancing!$B$33*D$85),CombatantLevelAttributeMod)</f>
      </c>
      <c r="E120" s="1">
        <f>ATTACKDAMAGE(IF(ISEVEN(COLUMN()),$B120,$C120),E$85,INT(balancing!$B$43/balancing!$B$33*E$85),CombatantLevelAttributeMod)</f>
      </c>
      <c r="F120" s="1">
        <f>ATTACKDAMAGE(IF(ISEVEN(COLUMN()),$B120,$C120),F$85,INT(balancing!$B$43/balancing!$B$33*F$85),CombatantLevelAttributeMod)</f>
      </c>
      <c r="G120" s="1">
        <f>ATTACKDAMAGE(IF(ISEVEN(COLUMN()),$B120,$C120),G$85,INT(balancing!$B$43/balancing!$B$33*G$85),CombatantLevelAttributeMod)</f>
      </c>
      <c r="H120" s="1">
        <f>ATTACKDAMAGE(IF(ISEVEN(COLUMN()),$B120,$C120),H$85,INT(balancing!$B$43/balancing!$B$33*H$85),CombatantLevelAttributeMod)</f>
      </c>
      <c r="I120" s="1">
        <f>ATTACKDAMAGE(IF(ISEVEN(COLUMN()),$B120,$C120),I$85,INT(balancing!$B$43/balancing!$B$33*I$85),CombatantLevelAttributeMod)</f>
      </c>
      <c r="J120" s="1">
        <f>ATTACKDAMAGE(IF(ISEVEN(COLUMN()),$B120,$C120),J$85,INT(balancing!$B$43/balancing!$B$33*J$85),CombatantLevelAttributeMod)</f>
      </c>
      <c r="K120" s="1">
        <f>ATTACKDAMAGE(IF(ISEVEN(COLUMN()),$B120,$C120),K$85,INT(balancing!$B$43/balancing!$B$33*K$85),CombatantLevelAttributeMod)</f>
      </c>
      <c r="L120" s="1">
        <f>ATTACKDAMAGE(IF(ISEVEN(COLUMN()),$B120,$C120),L$85,INT(balancing!$B$43/balancing!$B$33*L$85),CombatantLevelAttributeMod)</f>
      </c>
      <c r="M120" s="1">
        <f>ATTACKDAMAGE(IF(ISEVEN(COLUMN()),$B120,$C120),M$85,INT(balancing!$B$43/balancing!$B$33*M$85),CombatantLevelAttributeMod)</f>
      </c>
      <c r="N120" s="1">
        <f>ATTACKDAMAGE(IF(ISEVEN(COLUMN()),$B120,$C120),N$85,INT(balancing!$B$43/balancing!$B$33*N$85),CombatantLevelAttributeMod)</f>
      </c>
      <c r="O120" s="1">
        <f>ATTACKDAMAGE(IF(ISEVEN(COLUMN()),$B120,$C120),O$85,INT(balancing!$B$43/balancing!$B$33*O$85),CombatantLevelAttributeMod)</f>
      </c>
      <c r="P120" s="1">
        <f>ATTACKDAMAGE(IF(ISEVEN(COLUMN()),$B120,$C120),P$85,INT(balancing!$B$43/balancing!$B$33*P$85),CombatantLevelAttributeMod)</f>
      </c>
      <c r="Q120" s="1">
        <f>ATTACKDAMAGE(IF(ISEVEN(COLUMN()),$B120,$C120),Q$85,INT(balancing!$B$43/balancing!$B$33*Q$85),CombatantLevelAttributeMod)</f>
      </c>
      <c r="R120" s="1">
        <f>ATTACKDAMAGE(IF(ISEVEN(COLUMN()),$B120,$C120),R$85,INT(balancing!$B$43/balancing!$B$33*R$85),CombatantLevelAttributeMod)</f>
      </c>
      <c r="S120" s="1">
        <f>ATTACKDAMAGE(IF(ISEVEN(COLUMN()),$B120,$C120),S$85,INT(balancing!$B$43/balancing!$B$33*S$85),CombatantLevelAttributeMod)</f>
      </c>
      <c r="T120" s="1">
        <f>ATTACKDAMAGE(IF(ISEVEN(COLUMN()),$B120,$C120),T$85,INT(balancing!$B$43/balancing!$B$33*T$85),CombatantLevelAttributeMod)</f>
      </c>
      <c r="U120" s="1">
        <f>ATTACKDAMAGE(IF(ISEVEN(COLUMN()),$B120,$C120),U$85,INT(balancing!$B$43/balancing!$B$33*U$85),CombatantLevelAttributeMod)</f>
      </c>
      <c r="V120" s="1">
        <f>ATTACKDAMAGE(IF(ISEVEN(COLUMN()),$B120,$C120),V$85,INT(balancing!$B$43/balancing!$B$33*V$85),CombatantLevelAttributeMod)</f>
      </c>
      <c r="W120" s="1">
        <f>ATTACKDAMAGE(IF(ISEVEN(COLUMN()),$B120,$C120),W$85,INT(balancing!$B$43/balancing!$B$33*W$85),CombatantLevelAttributeMod)</f>
      </c>
    </row>
    <row r="121" spans="1:23" x14ac:dyDescent="0.25">
      <c r="A121" s="3">
        <f>'equipment-weapons'!A37</f>
      </c>
      <c r="B121" s="3">
        <f>'equipment-weapons'!F37</f>
      </c>
      <c r="C121" s="3">
        <f>'equipment-weapons'!G37</f>
      </c>
      <c r="D121" s="1">
        <f>ATTACKDAMAGE(IF(ISEVEN(COLUMN()),$B121,$C121),D$85,INT(balancing!$B$43/balancing!$B$33*D$85),CombatantLevelAttributeMod)</f>
      </c>
      <c r="E121" s="1">
        <f>ATTACKDAMAGE(IF(ISEVEN(COLUMN()),$B121,$C121),E$85,INT(balancing!$B$43/balancing!$B$33*E$85),CombatantLevelAttributeMod)</f>
      </c>
      <c r="F121" s="1">
        <f>ATTACKDAMAGE(IF(ISEVEN(COLUMN()),$B121,$C121),F$85,INT(balancing!$B$43/balancing!$B$33*F$85),CombatantLevelAttributeMod)</f>
      </c>
      <c r="G121" s="1">
        <f>ATTACKDAMAGE(IF(ISEVEN(COLUMN()),$B121,$C121),G$85,INT(balancing!$B$43/balancing!$B$33*G$85),CombatantLevelAttributeMod)</f>
      </c>
      <c r="H121" s="1">
        <f>ATTACKDAMAGE(IF(ISEVEN(COLUMN()),$B121,$C121),H$85,INT(balancing!$B$43/balancing!$B$33*H$85),CombatantLevelAttributeMod)</f>
      </c>
      <c r="I121" s="1">
        <f>ATTACKDAMAGE(IF(ISEVEN(COLUMN()),$B121,$C121),I$85,INT(balancing!$B$43/balancing!$B$33*I$85),CombatantLevelAttributeMod)</f>
      </c>
      <c r="J121" s="1">
        <f>ATTACKDAMAGE(IF(ISEVEN(COLUMN()),$B121,$C121),J$85,INT(balancing!$B$43/balancing!$B$33*J$85),CombatantLevelAttributeMod)</f>
      </c>
      <c r="K121" s="1">
        <f>ATTACKDAMAGE(IF(ISEVEN(COLUMN()),$B121,$C121),K$85,INT(balancing!$B$43/balancing!$B$33*K$85),CombatantLevelAttributeMod)</f>
      </c>
      <c r="L121" s="1">
        <f>ATTACKDAMAGE(IF(ISEVEN(COLUMN()),$B121,$C121),L$85,INT(balancing!$B$43/balancing!$B$33*L$85),CombatantLevelAttributeMod)</f>
      </c>
      <c r="M121" s="1">
        <f>ATTACKDAMAGE(IF(ISEVEN(COLUMN()),$B121,$C121),M$85,INT(balancing!$B$43/balancing!$B$33*M$85),CombatantLevelAttributeMod)</f>
      </c>
      <c r="N121" s="1">
        <f>ATTACKDAMAGE(IF(ISEVEN(COLUMN()),$B121,$C121),N$85,INT(balancing!$B$43/balancing!$B$33*N$85),CombatantLevelAttributeMod)</f>
      </c>
      <c r="O121" s="1">
        <f>ATTACKDAMAGE(IF(ISEVEN(COLUMN()),$B121,$C121),O$85,INT(balancing!$B$43/balancing!$B$33*O$85),CombatantLevelAttributeMod)</f>
      </c>
      <c r="P121" s="1">
        <f>ATTACKDAMAGE(IF(ISEVEN(COLUMN()),$B121,$C121),P$85,INT(balancing!$B$43/balancing!$B$33*P$85),CombatantLevelAttributeMod)</f>
      </c>
      <c r="Q121" s="1">
        <f>ATTACKDAMAGE(IF(ISEVEN(COLUMN()),$B121,$C121),Q$85,INT(balancing!$B$43/balancing!$B$33*Q$85),CombatantLevelAttributeMod)</f>
      </c>
      <c r="R121" s="1">
        <f>ATTACKDAMAGE(IF(ISEVEN(COLUMN()),$B121,$C121),R$85,INT(balancing!$B$43/balancing!$B$33*R$85),CombatantLevelAttributeMod)</f>
      </c>
      <c r="S121" s="1">
        <f>ATTACKDAMAGE(IF(ISEVEN(COLUMN()),$B121,$C121),S$85,INT(balancing!$B$43/balancing!$B$33*S$85),CombatantLevelAttributeMod)</f>
      </c>
      <c r="T121" s="1">
        <f>ATTACKDAMAGE(IF(ISEVEN(COLUMN()),$B121,$C121),T$85,INT(balancing!$B$43/balancing!$B$33*T$85),CombatantLevelAttributeMod)</f>
      </c>
      <c r="U121" s="1">
        <f>ATTACKDAMAGE(IF(ISEVEN(COLUMN()),$B121,$C121),U$85,INT(balancing!$B$43/balancing!$B$33*U$85),CombatantLevelAttributeMod)</f>
      </c>
      <c r="V121" s="1">
        <f>ATTACKDAMAGE(IF(ISEVEN(COLUMN()),$B121,$C121),V$85,INT(balancing!$B$43/balancing!$B$33*V$85),CombatantLevelAttributeMod)</f>
      </c>
      <c r="W121" s="1">
        <f>ATTACKDAMAGE(IF(ISEVEN(COLUMN()),$B121,$C121),W$85,INT(balancing!$B$43/balancing!$B$33*W$85),CombatantLevelAttributeMod)</f>
      </c>
    </row>
    <row r="122" spans="1:23" x14ac:dyDescent="0.25">
      <c r="A122" s="3">
        <f>'equipment-weapons'!A38</f>
      </c>
      <c r="B122" s="3">
        <f>'equipment-weapons'!F38</f>
      </c>
      <c r="C122" s="3">
        <f>'equipment-weapons'!G38</f>
      </c>
      <c r="D122" s="1">
        <f>ATTACKDAMAGE(IF(ISEVEN(COLUMN()),$B122,$C122),D$85,INT(balancing!$B$43/balancing!$B$33*D$85),CombatantLevelAttributeMod)</f>
      </c>
      <c r="E122" s="1">
        <f>ATTACKDAMAGE(IF(ISEVEN(COLUMN()),$B122,$C122),E$85,INT(balancing!$B$43/balancing!$B$33*E$85),CombatantLevelAttributeMod)</f>
      </c>
      <c r="F122" s="1">
        <f>ATTACKDAMAGE(IF(ISEVEN(COLUMN()),$B122,$C122),F$85,INT(balancing!$B$43/balancing!$B$33*F$85),CombatantLevelAttributeMod)</f>
      </c>
      <c r="G122" s="1">
        <f>ATTACKDAMAGE(IF(ISEVEN(COLUMN()),$B122,$C122),G$85,INT(balancing!$B$43/balancing!$B$33*G$85),CombatantLevelAttributeMod)</f>
      </c>
      <c r="H122" s="1">
        <f>ATTACKDAMAGE(IF(ISEVEN(COLUMN()),$B122,$C122),H$85,INT(balancing!$B$43/balancing!$B$33*H$85),CombatantLevelAttributeMod)</f>
      </c>
      <c r="I122" s="1">
        <f>ATTACKDAMAGE(IF(ISEVEN(COLUMN()),$B122,$C122),I$85,INT(balancing!$B$43/balancing!$B$33*I$85),CombatantLevelAttributeMod)</f>
      </c>
      <c r="J122" s="1">
        <f>ATTACKDAMAGE(IF(ISEVEN(COLUMN()),$B122,$C122),J$85,INT(balancing!$B$43/balancing!$B$33*J$85),CombatantLevelAttributeMod)</f>
      </c>
      <c r="K122" s="1">
        <f>ATTACKDAMAGE(IF(ISEVEN(COLUMN()),$B122,$C122),K$85,INT(balancing!$B$43/balancing!$B$33*K$85),CombatantLevelAttributeMod)</f>
      </c>
      <c r="L122" s="1">
        <f>ATTACKDAMAGE(IF(ISEVEN(COLUMN()),$B122,$C122),L$85,INT(balancing!$B$43/balancing!$B$33*L$85),CombatantLevelAttributeMod)</f>
      </c>
      <c r="M122" s="1">
        <f>ATTACKDAMAGE(IF(ISEVEN(COLUMN()),$B122,$C122),M$85,INT(balancing!$B$43/balancing!$B$33*M$85),CombatantLevelAttributeMod)</f>
      </c>
      <c r="N122" s="1">
        <f>ATTACKDAMAGE(IF(ISEVEN(COLUMN()),$B122,$C122),N$85,INT(balancing!$B$43/balancing!$B$33*N$85),CombatantLevelAttributeMod)</f>
      </c>
      <c r="O122" s="1">
        <f>ATTACKDAMAGE(IF(ISEVEN(COLUMN()),$B122,$C122),O$85,INT(balancing!$B$43/balancing!$B$33*O$85),CombatantLevelAttributeMod)</f>
      </c>
      <c r="P122" s="1">
        <f>ATTACKDAMAGE(IF(ISEVEN(COLUMN()),$B122,$C122),P$85,INT(balancing!$B$43/balancing!$B$33*P$85),CombatantLevelAttributeMod)</f>
      </c>
      <c r="Q122" s="1">
        <f>ATTACKDAMAGE(IF(ISEVEN(COLUMN()),$B122,$C122),Q$85,INT(balancing!$B$43/balancing!$B$33*Q$85),CombatantLevelAttributeMod)</f>
      </c>
      <c r="R122" s="1">
        <f>ATTACKDAMAGE(IF(ISEVEN(COLUMN()),$B122,$C122),R$85,INT(balancing!$B$43/balancing!$B$33*R$85),CombatantLevelAttributeMod)</f>
      </c>
      <c r="S122" s="1">
        <f>ATTACKDAMAGE(IF(ISEVEN(COLUMN()),$B122,$C122),S$85,INT(balancing!$B$43/balancing!$B$33*S$85),CombatantLevelAttributeMod)</f>
      </c>
      <c r="T122" s="1">
        <f>ATTACKDAMAGE(IF(ISEVEN(COLUMN()),$B122,$C122),T$85,INT(balancing!$B$43/balancing!$B$33*T$85),CombatantLevelAttributeMod)</f>
      </c>
      <c r="U122" s="1">
        <f>ATTACKDAMAGE(IF(ISEVEN(COLUMN()),$B122,$C122),U$85,INT(balancing!$B$43/balancing!$B$33*U$85),CombatantLevelAttributeMod)</f>
      </c>
      <c r="V122" s="1">
        <f>ATTACKDAMAGE(IF(ISEVEN(COLUMN()),$B122,$C122),V$85,INT(balancing!$B$43/balancing!$B$33*V$85),CombatantLevelAttributeMod)</f>
      </c>
      <c r="W122" s="1">
        <f>ATTACKDAMAGE(IF(ISEVEN(COLUMN()),$B122,$C122),W$85,INT(balancing!$B$43/balancing!$B$33*W$85),CombatantLevelAttributeMod)</f>
      </c>
    </row>
    <row r="123" spans="1:23" x14ac:dyDescent="0.25">
      <c r="A123" s="3">
        <f>'equipment-weapons'!A39</f>
      </c>
      <c r="B123" s="3">
        <f>'equipment-weapons'!F39</f>
      </c>
      <c r="C123" s="3">
        <f>'equipment-weapons'!G39</f>
      </c>
      <c r="D123" s="1">
        <f>ATTACKDAMAGE(IF(ISEVEN(COLUMN()),$B123,$C123),D$85,INT(balancing!$B$43/balancing!$B$33*D$85),CombatantLevelAttributeMod)</f>
      </c>
      <c r="E123" s="1">
        <f>ATTACKDAMAGE(IF(ISEVEN(COLUMN()),$B123,$C123),E$85,INT(balancing!$B$43/balancing!$B$33*E$85),CombatantLevelAttributeMod)</f>
      </c>
      <c r="F123" s="1">
        <f>ATTACKDAMAGE(IF(ISEVEN(COLUMN()),$B123,$C123),F$85,INT(balancing!$B$43/balancing!$B$33*F$85),CombatantLevelAttributeMod)</f>
      </c>
      <c r="G123" s="1">
        <f>ATTACKDAMAGE(IF(ISEVEN(COLUMN()),$B123,$C123),G$85,INT(balancing!$B$43/balancing!$B$33*G$85),CombatantLevelAttributeMod)</f>
      </c>
      <c r="H123" s="1">
        <f>ATTACKDAMAGE(IF(ISEVEN(COLUMN()),$B123,$C123),H$85,INT(balancing!$B$43/balancing!$B$33*H$85),CombatantLevelAttributeMod)</f>
      </c>
      <c r="I123" s="1">
        <f>ATTACKDAMAGE(IF(ISEVEN(COLUMN()),$B123,$C123),I$85,INT(balancing!$B$43/balancing!$B$33*I$85),CombatantLevelAttributeMod)</f>
      </c>
      <c r="J123" s="1">
        <f>ATTACKDAMAGE(IF(ISEVEN(COLUMN()),$B123,$C123),J$85,INT(balancing!$B$43/balancing!$B$33*J$85),CombatantLevelAttributeMod)</f>
      </c>
      <c r="K123" s="1">
        <f>ATTACKDAMAGE(IF(ISEVEN(COLUMN()),$B123,$C123),K$85,INT(balancing!$B$43/balancing!$B$33*K$85),CombatantLevelAttributeMod)</f>
      </c>
      <c r="L123" s="1">
        <f>ATTACKDAMAGE(IF(ISEVEN(COLUMN()),$B123,$C123),L$85,INT(balancing!$B$43/balancing!$B$33*L$85),CombatantLevelAttributeMod)</f>
      </c>
      <c r="M123" s="1">
        <f>ATTACKDAMAGE(IF(ISEVEN(COLUMN()),$B123,$C123),M$85,INT(balancing!$B$43/balancing!$B$33*M$85),CombatantLevelAttributeMod)</f>
      </c>
      <c r="N123" s="1">
        <f>ATTACKDAMAGE(IF(ISEVEN(COLUMN()),$B123,$C123),N$85,INT(balancing!$B$43/balancing!$B$33*N$85),CombatantLevelAttributeMod)</f>
      </c>
      <c r="O123" s="1">
        <f>ATTACKDAMAGE(IF(ISEVEN(COLUMN()),$B123,$C123),O$85,INT(balancing!$B$43/balancing!$B$33*O$85),CombatantLevelAttributeMod)</f>
      </c>
      <c r="P123" s="1">
        <f>ATTACKDAMAGE(IF(ISEVEN(COLUMN()),$B123,$C123),P$85,INT(balancing!$B$43/balancing!$B$33*P$85),CombatantLevelAttributeMod)</f>
      </c>
      <c r="Q123" s="1">
        <f>ATTACKDAMAGE(IF(ISEVEN(COLUMN()),$B123,$C123),Q$85,INT(balancing!$B$43/balancing!$B$33*Q$85),CombatantLevelAttributeMod)</f>
      </c>
      <c r="R123" s="1">
        <f>ATTACKDAMAGE(IF(ISEVEN(COLUMN()),$B123,$C123),R$85,INT(balancing!$B$43/balancing!$B$33*R$85),CombatantLevelAttributeMod)</f>
      </c>
      <c r="S123" s="1">
        <f>ATTACKDAMAGE(IF(ISEVEN(COLUMN()),$B123,$C123),S$85,INT(balancing!$B$43/balancing!$B$33*S$85),CombatantLevelAttributeMod)</f>
      </c>
      <c r="T123" s="1">
        <f>ATTACKDAMAGE(IF(ISEVEN(COLUMN()),$B123,$C123),T$85,INT(balancing!$B$43/balancing!$B$33*T$85),CombatantLevelAttributeMod)</f>
      </c>
      <c r="U123" s="1">
        <f>ATTACKDAMAGE(IF(ISEVEN(COLUMN()),$B123,$C123),U$85,INT(balancing!$B$43/balancing!$B$33*U$85),CombatantLevelAttributeMod)</f>
      </c>
      <c r="V123" s="1">
        <f>ATTACKDAMAGE(IF(ISEVEN(COLUMN()),$B123,$C123),V$85,INT(balancing!$B$43/balancing!$B$33*V$85),CombatantLevelAttributeMod)</f>
      </c>
      <c r="W123" s="1">
        <f>ATTACKDAMAGE(IF(ISEVEN(COLUMN()),$B123,$C123),W$85,INT(balancing!$B$43/balancing!$B$33*W$85),CombatantLevelAttributeMod)</f>
      </c>
    </row>
    <row r="124" spans="1:23" x14ac:dyDescent="0.25">
      <c r="A124" s="3">
        <f>'equipment-weapons'!A40</f>
      </c>
      <c r="B124" s="3">
        <f>'equipment-weapons'!F40</f>
      </c>
      <c r="C124" s="3">
        <f>'equipment-weapons'!G40</f>
      </c>
      <c r="D124" s="1">
        <f>ATTACKDAMAGE(IF(ISEVEN(COLUMN()),$B124,$C124),D$85,INT(balancing!$B$43/balancing!$B$33*D$85),CombatantLevelAttributeMod)</f>
      </c>
      <c r="E124" s="1">
        <f>ATTACKDAMAGE(IF(ISEVEN(COLUMN()),$B124,$C124),E$85,INT(balancing!$B$43/balancing!$B$33*E$85),CombatantLevelAttributeMod)</f>
      </c>
      <c r="F124" s="1">
        <f>ATTACKDAMAGE(IF(ISEVEN(COLUMN()),$B124,$C124),F$85,INT(balancing!$B$43/balancing!$B$33*F$85),CombatantLevelAttributeMod)</f>
      </c>
      <c r="G124" s="1">
        <f>ATTACKDAMAGE(IF(ISEVEN(COLUMN()),$B124,$C124),G$85,INT(balancing!$B$43/balancing!$B$33*G$85),CombatantLevelAttributeMod)</f>
      </c>
      <c r="H124" s="1">
        <f>ATTACKDAMAGE(IF(ISEVEN(COLUMN()),$B124,$C124),H$85,INT(balancing!$B$43/balancing!$B$33*H$85),CombatantLevelAttributeMod)</f>
      </c>
      <c r="I124" s="1">
        <f>ATTACKDAMAGE(IF(ISEVEN(COLUMN()),$B124,$C124),I$85,INT(balancing!$B$43/balancing!$B$33*I$85),CombatantLevelAttributeMod)</f>
      </c>
      <c r="J124" s="1">
        <f>ATTACKDAMAGE(IF(ISEVEN(COLUMN()),$B124,$C124),J$85,INT(balancing!$B$43/balancing!$B$33*J$85),CombatantLevelAttributeMod)</f>
      </c>
      <c r="K124" s="1">
        <f>ATTACKDAMAGE(IF(ISEVEN(COLUMN()),$B124,$C124),K$85,INT(balancing!$B$43/balancing!$B$33*K$85),CombatantLevelAttributeMod)</f>
      </c>
      <c r="L124" s="1">
        <f>ATTACKDAMAGE(IF(ISEVEN(COLUMN()),$B124,$C124),L$85,INT(balancing!$B$43/balancing!$B$33*L$85),CombatantLevelAttributeMod)</f>
      </c>
      <c r="M124" s="1">
        <f>ATTACKDAMAGE(IF(ISEVEN(COLUMN()),$B124,$C124),M$85,INT(balancing!$B$43/balancing!$B$33*M$85),CombatantLevelAttributeMod)</f>
      </c>
      <c r="N124" s="1">
        <f>ATTACKDAMAGE(IF(ISEVEN(COLUMN()),$B124,$C124),N$85,INT(balancing!$B$43/balancing!$B$33*N$85),CombatantLevelAttributeMod)</f>
      </c>
      <c r="O124" s="1">
        <f>ATTACKDAMAGE(IF(ISEVEN(COLUMN()),$B124,$C124),O$85,INT(balancing!$B$43/balancing!$B$33*O$85),CombatantLevelAttributeMod)</f>
      </c>
      <c r="P124" s="1">
        <f>ATTACKDAMAGE(IF(ISEVEN(COLUMN()),$B124,$C124),P$85,INT(balancing!$B$43/balancing!$B$33*P$85),CombatantLevelAttributeMod)</f>
      </c>
      <c r="Q124" s="1">
        <f>ATTACKDAMAGE(IF(ISEVEN(COLUMN()),$B124,$C124),Q$85,INT(balancing!$B$43/balancing!$B$33*Q$85),CombatantLevelAttributeMod)</f>
      </c>
      <c r="R124" s="1">
        <f>ATTACKDAMAGE(IF(ISEVEN(COLUMN()),$B124,$C124),R$85,INT(balancing!$B$43/balancing!$B$33*R$85),CombatantLevelAttributeMod)</f>
      </c>
      <c r="S124" s="1">
        <f>ATTACKDAMAGE(IF(ISEVEN(COLUMN()),$B124,$C124),S$85,INT(balancing!$B$43/balancing!$B$33*S$85),CombatantLevelAttributeMod)</f>
      </c>
      <c r="T124" s="1">
        <f>ATTACKDAMAGE(IF(ISEVEN(COLUMN()),$B124,$C124),T$85,INT(balancing!$B$43/balancing!$B$33*T$85),CombatantLevelAttributeMod)</f>
      </c>
      <c r="U124" s="1">
        <f>ATTACKDAMAGE(IF(ISEVEN(COLUMN()),$B124,$C124),U$85,INT(balancing!$B$43/balancing!$B$33*U$85),CombatantLevelAttributeMod)</f>
      </c>
      <c r="V124" s="1">
        <f>ATTACKDAMAGE(IF(ISEVEN(COLUMN()),$B124,$C124),V$85,INT(balancing!$B$43/balancing!$B$33*V$85),CombatantLevelAttributeMod)</f>
      </c>
      <c r="W124" s="1">
        <f>ATTACKDAMAGE(IF(ISEVEN(COLUMN()),$B124,$C124),W$85,INT(balancing!$B$43/balancing!$B$33*W$85),CombatantLevelAttributeMod)</f>
      </c>
    </row>
    <row r="125" spans="1:23" x14ac:dyDescent="0.25">
      <c r="A125" s="3">
        <f>'equipment-weapons'!A41</f>
      </c>
      <c r="B125" s="3">
        <f>'equipment-weapons'!F41</f>
      </c>
      <c r="C125" s="3">
        <f>'equipment-weapons'!G41</f>
      </c>
      <c r="D125" s="1">
        <f>ATTACKDAMAGE(IF(ISEVEN(COLUMN()),$B125,$C125),D$85,INT(balancing!$B$43/balancing!$B$33*D$85),CombatantLevelAttributeMod)</f>
      </c>
      <c r="E125" s="1">
        <f>ATTACKDAMAGE(IF(ISEVEN(COLUMN()),$B125,$C125),E$85,INT(balancing!$B$43/balancing!$B$33*E$85),CombatantLevelAttributeMod)</f>
      </c>
      <c r="F125" s="1">
        <f>ATTACKDAMAGE(IF(ISEVEN(COLUMN()),$B125,$C125),F$85,INT(balancing!$B$43/balancing!$B$33*F$85),CombatantLevelAttributeMod)</f>
      </c>
      <c r="G125" s="1">
        <f>ATTACKDAMAGE(IF(ISEVEN(COLUMN()),$B125,$C125),G$85,INT(balancing!$B$43/balancing!$B$33*G$85),CombatantLevelAttributeMod)</f>
      </c>
      <c r="H125" s="1">
        <f>ATTACKDAMAGE(IF(ISEVEN(COLUMN()),$B125,$C125),H$85,INT(balancing!$B$43/balancing!$B$33*H$85),CombatantLevelAttributeMod)</f>
      </c>
      <c r="I125" s="1">
        <f>ATTACKDAMAGE(IF(ISEVEN(COLUMN()),$B125,$C125),I$85,INT(balancing!$B$43/balancing!$B$33*I$85),CombatantLevelAttributeMod)</f>
      </c>
      <c r="J125" s="1">
        <f>ATTACKDAMAGE(IF(ISEVEN(COLUMN()),$B125,$C125),J$85,INT(balancing!$B$43/balancing!$B$33*J$85),CombatantLevelAttributeMod)</f>
      </c>
      <c r="K125" s="1">
        <f>ATTACKDAMAGE(IF(ISEVEN(COLUMN()),$B125,$C125),K$85,INT(balancing!$B$43/balancing!$B$33*K$85),CombatantLevelAttributeMod)</f>
      </c>
      <c r="L125" s="1">
        <f>ATTACKDAMAGE(IF(ISEVEN(COLUMN()),$B125,$C125),L$85,INT(balancing!$B$43/balancing!$B$33*L$85),CombatantLevelAttributeMod)</f>
      </c>
      <c r="M125" s="1">
        <f>ATTACKDAMAGE(IF(ISEVEN(COLUMN()),$B125,$C125),M$85,INT(balancing!$B$43/balancing!$B$33*M$85),CombatantLevelAttributeMod)</f>
      </c>
      <c r="N125" s="1">
        <f>ATTACKDAMAGE(IF(ISEVEN(COLUMN()),$B125,$C125),N$85,INT(balancing!$B$43/balancing!$B$33*N$85),CombatantLevelAttributeMod)</f>
      </c>
      <c r="O125" s="1">
        <f>ATTACKDAMAGE(IF(ISEVEN(COLUMN()),$B125,$C125),O$85,INT(balancing!$B$43/balancing!$B$33*O$85),CombatantLevelAttributeMod)</f>
      </c>
      <c r="P125" s="1">
        <f>ATTACKDAMAGE(IF(ISEVEN(COLUMN()),$B125,$C125),P$85,INT(balancing!$B$43/balancing!$B$33*P$85),CombatantLevelAttributeMod)</f>
      </c>
      <c r="Q125" s="1">
        <f>ATTACKDAMAGE(IF(ISEVEN(COLUMN()),$B125,$C125),Q$85,INT(balancing!$B$43/balancing!$B$33*Q$85),CombatantLevelAttributeMod)</f>
      </c>
      <c r="R125" s="1">
        <f>ATTACKDAMAGE(IF(ISEVEN(COLUMN()),$B125,$C125),R$85,INT(balancing!$B$43/balancing!$B$33*R$85),CombatantLevelAttributeMod)</f>
      </c>
      <c r="S125" s="1">
        <f>ATTACKDAMAGE(IF(ISEVEN(COLUMN()),$B125,$C125),S$85,INT(balancing!$B$43/balancing!$B$33*S$85),CombatantLevelAttributeMod)</f>
      </c>
      <c r="T125" s="1">
        <f>ATTACKDAMAGE(IF(ISEVEN(COLUMN()),$B125,$C125),T$85,INT(balancing!$B$43/balancing!$B$33*T$85),CombatantLevelAttributeMod)</f>
      </c>
      <c r="U125" s="1">
        <f>ATTACKDAMAGE(IF(ISEVEN(COLUMN()),$B125,$C125),U$85,INT(balancing!$B$43/balancing!$B$33*U$85),CombatantLevelAttributeMod)</f>
      </c>
      <c r="V125" s="1">
        <f>ATTACKDAMAGE(IF(ISEVEN(COLUMN()),$B125,$C125),V$85,INT(balancing!$B$43/balancing!$B$33*V$85),CombatantLevelAttributeMod)</f>
      </c>
      <c r="W125" s="1">
        <f>ATTACKDAMAGE(IF(ISEVEN(COLUMN()),$B125,$C125),W$85,INT(balancing!$B$43/balancing!$B$33*W$85),CombatantLevelAttributeMod)</f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ageMargins left="0.7875" right="0.7875" top="1.05277777777778" bottom="1.05277777777778" header="0.7875" footer="0.7875"/>
  <pageSetup paperSize="1" orientation="portrait" horizontalDpi="300" verticalDpi="300" scale="100" fitToWidth="1" fitToHeight="1" firstPageNumber="1" useFirstPageNumber="1" copies="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50" zoomScaleNormal="150" view="normal">
      <selection activeCell="D26" sqref="D26"/>
    </sheetView>
  </sheetViews>
  <sheetFormatPr defaultRowHeight="12.75" outlineLevelRow="0" outlineLevelCol="0" x14ac:dyDescent="0" defaultColWidth="11.53515625" customHeight="1"/>
  <sheetData>
    <row r="1" ht="13.5" customHeight="1" spans="2:6" x14ac:dyDescent="0.25">
      <c r="B1" s="5" t="s">
        <v>4</v>
      </c>
      <c r="C1" s="5"/>
      <c r="D1" s="5"/>
      <c r="E1" s="5"/>
      <c r="F1" s="5"/>
    </row>
    <row r="2" ht="13.5" customHeight="1" spans="1:6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ht="13.5" customHeight="1" spans="1:6" x14ac:dyDescent="0.25">
      <c r="A3" s="1">
        <v>1</v>
      </c>
      <c r="B3" s="1">
        <f>_xlfn.FLOOR.MATH(WarriorStrPerLvl*A3)</f>
        <v>2</v>
      </c>
      <c r="C3" s="1">
        <f>_xlfn.FLOOR.MATH(WarriorDexPerLvl*A3)</f>
        <v>1</v>
      </c>
      <c r="D3" s="1">
        <f>_xlfn.FLOOR.MATH(WarriorSprPerLvl*A3)</f>
        <v>0</v>
      </c>
      <c r="E3" s="1">
        <f>_xlfn.FLOOR.MATH(WarriorVitPerLvl*A3)</f>
        <v>1</v>
      </c>
      <c r="F3" s="1">
        <f>_xlfn.FLOOR.MATH(WarriorAgiPerLvl*A3)</f>
        <v>0</v>
      </c>
    </row>
    <row r="4" ht="13.5" customHeight="1" spans="1:6" x14ac:dyDescent="0.25">
      <c r="A4" s="1">
        <v>2</v>
      </c>
      <c r="B4" s="1">
        <f>_xlfn.FLOOR.MATH(WarriorStrPerLvl*A4)</f>
        <v>5</v>
      </c>
      <c r="C4" s="1">
        <f>_xlfn.FLOOR.MATH(WarriorDexPerLvl*A4)</f>
        <v>3</v>
      </c>
      <c r="D4" s="1">
        <f>_xlfn.FLOOR.MATH(WarriorSprPerLvl*A4)</f>
        <v>1</v>
      </c>
      <c r="E4" s="1">
        <f>_xlfn.FLOOR.MATH(WarriorVitPerLvl*A4)</f>
        <v>3</v>
      </c>
      <c r="F4" s="1">
        <f>_xlfn.FLOOR.MATH(WarriorAgiPerLvl*A4)</f>
        <v>1</v>
      </c>
    </row>
    <row r="5" ht="13.5" customHeight="1" spans="1:6" x14ac:dyDescent="0.25">
      <c r="A5" s="1">
        <v>3</v>
      </c>
      <c r="B5" s="1">
        <f>_xlfn.FLOOR.MATH(WarriorStrPerLvl*A5)</f>
        <v>7</v>
      </c>
      <c r="C5" s="1">
        <f>_xlfn.FLOOR.MATH(WarriorDexPerLvl*A5)</f>
        <v>4</v>
      </c>
      <c r="D5" s="1">
        <f>_xlfn.FLOOR.MATH(WarriorSprPerLvl*A5)</f>
        <v>1</v>
      </c>
      <c r="E5" s="1">
        <f>_xlfn.FLOOR.MATH(WarriorVitPerLvl*A5)</f>
        <v>5</v>
      </c>
      <c r="F5" s="1">
        <f>_xlfn.FLOOR.MATH(WarriorAgiPerLvl*A5)</f>
        <v>2</v>
      </c>
    </row>
    <row r="6" ht="13.5" customHeight="1" spans="1:6" x14ac:dyDescent="0.25">
      <c r="A6" s="1">
        <v>4</v>
      </c>
      <c r="B6" s="1">
        <f>_xlfn.FLOOR.MATH(WarriorStrPerLvl*A6)</f>
        <v>10</v>
      </c>
      <c r="C6" s="1">
        <f>_xlfn.FLOOR.MATH(WarriorDexPerLvl*A6)</f>
        <v>6</v>
      </c>
      <c r="D6" s="1">
        <f>_xlfn.FLOOR.MATH(WarriorSprPerLvl*A6)</f>
        <v>2</v>
      </c>
      <c r="E6" s="1">
        <f>_xlfn.FLOOR.MATH(WarriorVitPerLvl*A6)</f>
        <v>7</v>
      </c>
      <c r="F6" s="1">
        <f>_xlfn.FLOOR.MATH(WarriorAgiPerLvl*A6)</f>
        <v>3</v>
      </c>
    </row>
    <row r="7" ht="13.5" customHeight="1" spans="1:6" x14ac:dyDescent="0.25">
      <c r="A7" s="1">
        <v>5</v>
      </c>
      <c r="B7" s="1">
        <f>_xlfn.FLOOR.MATH(WarriorStrPerLvl*A7)</f>
        <v>12</v>
      </c>
      <c r="C7" s="1">
        <f>_xlfn.FLOOR.MATH(WarriorDexPerLvl*A7)</f>
        <v>7</v>
      </c>
      <c r="D7" s="1">
        <f>_xlfn.FLOOR.MATH(WarriorSprPerLvl*A7)</f>
        <v>2</v>
      </c>
      <c r="E7" s="1">
        <f>_xlfn.FLOOR.MATH(WarriorVitPerLvl*A7)</f>
        <v>8</v>
      </c>
      <c r="F7" s="1">
        <f>_xlfn.FLOOR.MATH(WarriorAgiPerLvl*A7)</f>
        <v>3</v>
      </c>
    </row>
    <row r="8" ht="13.5" customHeight="1" spans="1:6" x14ac:dyDescent="0.25">
      <c r="A8" s="1">
        <v>6</v>
      </c>
      <c r="B8" s="1">
        <f>_xlfn.FLOOR.MATH(WarriorStrPerLvl*A8)</f>
        <v>15</v>
      </c>
      <c r="C8" s="1">
        <f>_xlfn.FLOOR.MATH(WarriorDexPerLvl*A8)</f>
        <v>9</v>
      </c>
      <c r="D8" s="1">
        <f>_xlfn.FLOOR.MATH(WarriorSprPerLvl*A8)</f>
        <v>3</v>
      </c>
      <c r="E8" s="1">
        <f>_xlfn.FLOOR.MATH(WarriorVitPerLvl*A8)</f>
        <v>10</v>
      </c>
      <c r="F8" s="1">
        <f>_xlfn.FLOOR.MATH(WarriorAgiPerLvl*A8)</f>
        <v>4</v>
      </c>
    </row>
    <row r="9" ht="13.5" customHeight="1" spans="1:6" x14ac:dyDescent="0.25">
      <c r="A9" s="1">
        <v>7</v>
      </c>
      <c r="B9" s="1">
        <f>_xlfn.FLOOR.MATH(WarriorStrPerLvl*A9)</f>
        <v>17</v>
      </c>
      <c r="C9" s="1">
        <f>_xlfn.FLOOR.MATH(WarriorDexPerLvl*A9)</f>
        <v>10</v>
      </c>
      <c r="D9" s="1">
        <f>_xlfn.FLOOR.MATH(WarriorSprPerLvl*A9)</f>
        <v>3</v>
      </c>
      <c r="E9" s="1">
        <f>_xlfn.FLOOR.MATH(WarriorVitPerLvl*A9)</f>
        <v>12</v>
      </c>
      <c r="F9" s="1">
        <f>_xlfn.FLOOR.MATH(WarriorAgiPerLvl*A9)</f>
        <v>5</v>
      </c>
    </row>
    <row r="10" ht="13.5" customHeight="1" spans="1:6" x14ac:dyDescent="0.25">
      <c r="A10" s="1">
        <v>8</v>
      </c>
      <c r="B10" s="1">
        <f>_xlfn.FLOOR.MATH(WarriorStrPerLvl*A10)</f>
        <v>20</v>
      </c>
      <c r="C10" s="1">
        <f>_xlfn.FLOOR.MATH(WarriorDexPerLvl*A10)</f>
        <v>12</v>
      </c>
      <c r="D10" s="1">
        <f>_xlfn.FLOOR.MATH(WarriorSprPerLvl*A10)</f>
        <v>4</v>
      </c>
      <c r="E10" s="1">
        <f>_xlfn.FLOOR.MATH(WarriorVitPerLvl*A10)</f>
        <v>14</v>
      </c>
      <c r="F10" s="1">
        <f>_xlfn.FLOOR.MATH(WarriorAgiPerLvl*A10)</f>
        <v>6</v>
      </c>
    </row>
    <row r="11" ht="13.5" customHeight="1" spans="1:6" x14ac:dyDescent="0.25">
      <c r="A11" s="1">
        <v>9</v>
      </c>
      <c r="B11" s="1">
        <f>_xlfn.FLOOR.MATH(WarriorStrPerLvl*A11)</f>
        <v>22</v>
      </c>
      <c r="C11" s="1">
        <f>_xlfn.FLOOR.MATH(WarriorDexPerLvl*A11)</f>
        <v>13</v>
      </c>
      <c r="D11" s="1">
        <f>_xlfn.FLOOR.MATH(WarriorSprPerLvl*A11)</f>
        <v>4</v>
      </c>
      <c r="E11" s="1">
        <f>_xlfn.FLOOR.MATH(WarriorVitPerLvl*A11)</f>
        <v>15</v>
      </c>
      <c r="F11" s="1">
        <f>_xlfn.FLOOR.MATH(WarriorAgiPerLvl*A11)</f>
        <v>6</v>
      </c>
    </row>
    <row r="12" ht="13.5" customHeight="1" spans="1:6" x14ac:dyDescent="0.25">
      <c r="A12" s="1">
        <v>10</v>
      </c>
      <c r="B12" s="1">
        <f>_xlfn.FLOOR.MATH(WarriorStrPerLvl*A12)</f>
        <v>25</v>
      </c>
      <c r="C12" s="1">
        <f>_xlfn.FLOOR.MATH(WarriorDexPerLvl*A12)</f>
        <v>15</v>
      </c>
      <c r="D12" s="1">
        <f>_xlfn.FLOOR.MATH(WarriorSprPerLvl*A12)</f>
        <v>5</v>
      </c>
      <c r="E12" s="1">
        <f>_xlfn.FLOOR.MATH(WarriorVitPerLvl*A12)</f>
        <v>17</v>
      </c>
      <c r="F12" s="1">
        <f>_xlfn.FLOOR.MATH(WarriorAgiPerLvl*A12)</f>
        <v>7</v>
      </c>
    </row>
    <row r="13" ht="13.5" customHeight="1" x14ac:dyDescent="0.25"/>
    <row r="15" ht="13.5" customHeight="1" spans="2:6" x14ac:dyDescent="0.25">
      <c r="B15" s="5" t="s">
        <v>11</v>
      </c>
      <c r="C15" s="5"/>
      <c r="D15" s="5"/>
      <c r="E15" s="5"/>
      <c r="F15" s="5"/>
    </row>
    <row r="16" ht="13.5" customHeight="1" spans="1:6" x14ac:dyDescent="0.25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ht="13.5" customHeight="1" spans="1:6" x14ac:dyDescent="0.25">
      <c r="A17" s="1">
        <v>1</v>
      </c>
      <c r="B17" s="1">
        <f>_xlfn.FLOOR.MATH(RogueStrPerLvl*A17)</f>
        <v>1</v>
      </c>
      <c r="C17" s="1">
        <f>_xlfn.FLOOR.MATH(RogueDexPerLvl*A17)</f>
        <v>2</v>
      </c>
      <c r="D17" s="1"/>
      <c r="E17" s="1"/>
      <c r="F17" s="1"/>
    </row>
    <row r="18" ht="13.5" customHeight="1" spans="1:6" x14ac:dyDescent="0.25">
      <c r="A18" s="1">
        <v>2</v>
      </c>
      <c r="B18" s="1">
        <f>_xlfn.FLOOR.MATH(RogueStrPerLvl*A18)</f>
        <v>2</v>
      </c>
      <c r="C18" s="1">
        <f>_xlfn.FLOOR.MATH(RogueDexPerLvl*A18)</f>
        <v>5</v>
      </c>
      <c r="D18" s="1"/>
      <c r="E18" s="1"/>
      <c r="F18" s="1"/>
    </row>
    <row r="19" ht="13.5" customHeight="1" spans="1:6" x14ac:dyDescent="0.25">
      <c r="A19" s="1">
        <v>3</v>
      </c>
      <c r="B19" s="1">
        <f>_xlfn.FLOOR.MATH(RogueStrPerLvl*A19)</f>
        <v>3</v>
      </c>
      <c r="C19" s="1">
        <f>_xlfn.FLOOR.MATH(RogueDexPerLvl*A19)</f>
        <v>7</v>
      </c>
      <c r="D19" s="1"/>
      <c r="E19" s="1"/>
      <c r="F19" s="1"/>
    </row>
    <row r="20" ht="13.5" customHeight="1" spans="1:6" x14ac:dyDescent="0.25">
      <c r="A20" s="1">
        <v>4</v>
      </c>
      <c r="B20" s="1">
        <f>_xlfn.FLOOR.MATH(RogueStrPerLvl*A20)</f>
        <v>5</v>
      </c>
      <c r="C20" s="1">
        <f>_xlfn.FLOOR.MATH(RogueDexPerLvl*A20)</f>
        <v>10</v>
      </c>
      <c r="D20" s="1"/>
      <c r="E20" s="1"/>
      <c r="F20" s="1"/>
    </row>
    <row r="21" ht="13.5" customHeight="1" spans="1:6" x14ac:dyDescent="0.25">
      <c r="A21" s="1">
        <v>5</v>
      </c>
      <c r="B21" s="1">
        <f>_xlfn.FLOOR.MATH(RogueStrPerLvl*A21)</f>
        <v>6</v>
      </c>
      <c r="C21" s="1">
        <f>_xlfn.FLOOR.MATH(RogueDexPerLvl*A21)</f>
        <v>12</v>
      </c>
      <c r="D21" s="1"/>
      <c r="E21" s="1"/>
      <c r="F21" s="1"/>
    </row>
    <row r="22" ht="13.5" customHeight="1" spans="1:6" x14ac:dyDescent="0.25">
      <c r="A22" s="1">
        <v>6</v>
      </c>
      <c r="B22" s="1">
        <f>_xlfn.FLOOR.MATH(RogueStrPerLvl*A22)</f>
        <v>7</v>
      </c>
      <c r="C22" s="1">
        <f>_xlfn.FLOOR.MATH(RogueDexPerLvl*A22)</f>
        <v>15</v>
      </c>
      <c r="D22" s="1"/>
      <c r="E22" s="1"/>
      <c r="F22" s="1"/>
    </row>
    <row r="23" ht="13.5" customHeight="1" spans="1:6" x14ac:dyDescent="0.25">
      <c r="A23" s="1">
        <v>7</v>
      </c>
      <c r="B23" s="1">
        <f>_xlfn.FLOOR.MATH(RogueStrPerLvl*A23)</f>
        <v>8</v>
      </c>
      <c r="C23" s="1">
        <f>_xlfn.FLOOR.MATH(RogueDexPerLvl*A23)</f>
        <v>17</v>
      </c>
      <c r="D23" s="1"/>
      <c r="E23" s="1"/>
      <c r="F23" s="1"/>
    </row>
    <row r="24" ht="13.5" customHeight="1" spans="1:6" x14ac:dyDescent="0.25">
      <c r="A24" s="1">
        <v>8</v>
      </c>
      <c r="B24" s="1">
        <f>_xlfn.FLOOR.MATH(RogueStrPerLvl*A24)</f>
        <v>10</v>
      </c>
      <c r="C24" s="1">
        <f>_xlfn.FLOOR.MATH(RogueDexPerLvl*A24)</f>
        <v>20</v>
      </c>
      <c r="D24" s="1"/>
      <c r="E24" s="1"/>
      <c r="F24" s="1"/>
    </row>
    <row r="25" ht="13.5" customHeight="1" spans="1:6" x14ac:dyDescent="0.25">
      <c r="A25" s="1">
        <v>9</v>
      </c>
      <c r="B25" s="1">
        <f>_xlfn.FLOOR.MATH(RogueStrPerLvl*A25)</f>
        <v>11</v>
      </c>
      <c r="C25" s="1">
        <f>_xlfn.FLOOR.MATH(RogueDexPerLvl*A25)</f>
        <v>22</v>
      </c>
      <c r="D25" s="1"/>
      <c r="E25" s="1"/>
      <c r="F25" s="1"/>
    </row>
    <row r="26" ht="13.5" customHeight="1" spans="1:6" x14ac:dyDescent="0.25">
      <c r="A26" s="1">
        <v>10</v>
      </c>
      <c r="B26" s="1">
        <f>_xlfn.FLOOR.MATH(RogueStrPerLvl*A26)</f>
        <v>12</v>
      </c>
      <c r="C26" s="1">
        <f>_xlfn.FLOOR.MATH(RogueDexPerLvl*A26)</f>
        <v>25</v>
      </c>
      <c r="D26" s="1"/>
      <c r="E26" s="1"/>
      <c r="F26" s="1"/>
    </row>
  </sheetData>
  <mergeCells count="2">
    <mergeCell ref="B1:F1"/>
    <mergeCell ref="B15:F15"/>
  </mergeCells>
  <pageMargins left="0.7875" right="0.7875" top="1.05277777777778" bottom="1.05277777777778" header="0.7875" footer="0.7875"/>
  <pageSetup paperSize="1" orientation="portrait" horizontalDpi="300" verticalDpi="300" scale="100" fitToWidth="1" fitToHeight="1" firstPageNumber="1" useFirstPageNumber="1" copies="1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2"/>
  <sheetViews>
    <sheetView workbookViewId="0" zoomScale="150" zoomScaleNormal="150" view="normal">
      <selection activeCell="B44" sqref="B44"/>
    </sheetView>
  </sheetViews>
  <sheetFormatPr defaultRowHeight="12.75" outlineLevelRow="0" outlineLevelCol="0" x14ac:dyDescent="0" defaultColWidth="11.53515625" customHeight="1"/>
  <cols>
    <col min="1" max="1" width="21.37" style="1" customWidth="1"/>
    <col min="2" max="2" width="8.07" style="1" customWidth="1"/>
    <col min="3" max="3" width="8.35" style="6" customWidth="1"/>
    <col min="4" max="4" width="7.4" style="1" customWidth="1"/>
    <col min="5" max="5" width="5.59" style="1" customWidth="1"/>
    <col min="6" max="6" width="10.44" style="1" customWidth="1"/>
    <col min="7" max="7" width="10.51" style="1" customWidth="1"/>
    <col min="8" max="8" width="4.92" style="1" customWidth="1"/>
    <col min="9" max="9" width="7.4" style="1" customWidth="1"/>
    <col min="10" max="10" width="5.59" style="1" customWidth="1"/>
    <col min="11" max="12" width="2.44" style="1" customWidth="1"/>
    <col min="13" max="13" width="3.4" style="1" customWidth="1"/>
  </cols>
  <sheetData>
    <row r="1" ht="13.5" customHeight="1" spans="2:5" x14ac:dyDescent="0.25">
      <c r="B1" s="2" t="s">
        <v>12</v>
      </c>
      <c r="C1" s="2"/>
      <c r="D1" s="2"/>
      <c r="E1" s="2"/>
    </row>
    <row r="2" ht="13.5" customHeight="1" spans="2:5" x14ac:dyDescent="0.25">
      <c r="B2" s="7" t="s">
        <v>13</v>
      </c>
      <c r="C2" s="7" t="s">
        <v>14</v>
      </c>
      <c r="D2" s="7" t="s">
        <v>15</v>
      </c>
      <c r="E2" s="7" t="s">
        <v>16</v>
      </c>
    </row>
    <row r="3" ht="13.5" customHeight="1" spans="1:5" x14ac:dyDescent="0.25">
      <c r="A3" s="6" t="s">
        <v>17</v>
      </c>
      <c r="C3" s="6">
        <f>SUM('equipment-armor'!G24,'equipment-armor'!G30)</f>
        <v>12</v>
      </c>
      <c r="D3" s="6">
        <f>SUM('equipment-armor'!G14,'equipment-armor'!G19)</f>
        <v>9</v>
      </c>
      <c r="E3" s="6">
        <f>SUM('equipment-armor'!G2,'equipment-armor'!G8)</f>
        <v>5</v>
      </c>
    </row>
    <row r="4" ht="13.5" customHeight="1" spans="1:5" x14ac:dyDescent="0.25">
      <c r="A4" s="6" t="s">
        <v>18</v>
      </c>
      <c r="B4" s="6">
        <f>SUM('equipment-armor'!G35,'equipment-armor'!G40)</f>
        <v>19</v>
      </c>
      <c r="C4" s="6">
        <f>SUM('equipment-armor'!G25,'equipment-armor'!G31)</f>
        <v>28</v>
      </c>
      <c r="D4" s="6">
        <f>SUM('equipment-armor'!G15,'equipment-armor'!G20)</f>
        <v>12</v>
      </c>
      <c r="E4" s="6">
        <f>SUM('equipment-armor'!G3,'equipment-armor'!G9)</f>
        <v>9</v>
      </c>
    </row>
    <row r="5" ht="13.5" customHeight="1" spans="1:5" x14ac:dyDescent="0.25">
      <c r="A5" s="6" t="s">
        <v>19</v>
      </c>
      <c r="B5" s="6">
        <f>SUM('equipment-armor'!G36,'equipment-armor'!G41)</f>
        <v>32</v>
      </c>
      <c r="C5" s="6">
        <f>SUM('equipment-armor'!G26,'equipment-armor'!G32)</f>
        <v>35</v>
      </c>
      <c r="D5" s="6">
        <f>SUM('equipment-armor'!G16,'equipment-armor'!G21)</f>
        <v>20</v>
      </c>
      <c r="E5" s="6">
        <f>SUM('equipment-armor'!G4,'equipment-armor'!G10)</f>
        <v>14</v>
      </c>
    </row>
    <row r="6" ht="13.5" customHeight="1" spans="1:5" x14ac:dyDescent="0.25">
      <c r="A6" s="6" t="s">
        <v>20</v>
      </c>
      <c r="B6" s="6">
        <f>SUM('equipment-armor'!G37,'equipment-armor'!G42)</f>
        <v>43</v>
      </c>
      <c r="C6" s="6">
        <f>SUM('equipment-armor'!G27,'equipment-armor'!G33)</f>
        <v>43</v>
      </c>
      <c r="D6" s="6">
        <f>SUM('equipment-armor'!G17,'equipment-armor'!G22)</f>
        <v>33</v>
      </c>
      <c r="E6" s="6">
        <f>SUM('equipment-armor'!G5,'equipment-armor'!G11)</f>
        <v>13</v>
      </c>
    </row>
    <row r="7" ht="13.5" customHeight="1" spans="1:5" x14ac:dyDescent="0.25">
      <c r="A7" s="6" t="s">
        <v>21</v>
      </c>
      <c r="B7" s="6">
        <f>SUM('equipment-armor'!G38,'equipment-armor'!G43)</f>
        <v>52</v>
      </c>
      <c r="C7" s="6">
        <f>SUM('equipment-armor'!G28,'equipment-armor'!G33)</f>
        <v>44</v>
      </c>
      <c r="D7" s="6">
        <f>SUM('equipment-armor'!G18,'equipment-armor'!G23)</f>
        <v>0</v>
      </c>
      <c r="E7" s="6">
        <f>SUM('equipment-armor'!G6,'equipment-armor'!G12)</f>
        <v>34</v>
      </c>
    </row>
    <row r="8" ht="13.5" customHeight="1" x14ac:dyDescent="0.25"/>
    <row r="9" ht="13.5" customHeight="1" spans="1:2" x14ac:dyDescent="0.25">
      <c r="A9" s="6" t="s">
        <v>22</v>
      </c>
      <c r="B9" s="6">
        <v>2.5</v>
      </c>
    </row>
    <row r="10" ht="13.5" customHeight="1" spans="1:2" x14ac:dyDescent="0.25">
      <c r="A10" s="1" t="s">
        <v>23</v>
      </c>
      <c r="B10" s="1">
        <v>20</v>
      </c>
    </row>
    <row r="11" ht="13.5" customHeight="1" x14ac:dyDescent="0.25"/>
    <row r="12" ht="13.5" customHeight="1" spans="1:10" x14ac:dyDescent="0.25">
      <c r="A12" s="1" t="s">
        <v>24</v>
      </c>
      <c r="B12" s="1" t="s">
        <v>25</v>
      </c>
      <c r="F12" s="6" t="s">
        <v>26</v>
      </c>
      <c r="G12" s="6" t="s">
        <v>13</v>
      </c>
      <c r="H12" s="6" t="s">
        <v>14</v>
      </c>
      <c r="I12" s="6" t="s">
        <v>15</v>
      </c>
      <c r="J12" s="6" t="s">
        <v>16</v>
      </c>
    </row>
    <row r="13" ht="13.5" customHeight="1" spans="1:10" x14ac:dyDescent="0.25">
      <c r="A13" s="1">
        <f>'equipment-shields'!F2</f>
        <v>2</v>
      </c>
      <c r="F13" s="6">
        <v>5</v>
      </c>
      <c r="G13" s="6"/>
      <c r="H13" s="6">
        <f>DAMAGEAFTERAC(F13,C3, ArmorClassModifier)</f>
        <v>2</v>
      </c>
      <c r="I13" s="6">
        <f>DAMAGEAFTERAC(F13,D3, ArmorClassModifier)</f>
        <v>2</v>
      </c>
      <c r="J13" s="6">
        <f>DAMAGEAFTERAC(F13,E3, ArmorClassModifier)</f>
        <v>3</v>
      </c>
    </row>
    <row r="14" ht="13.5" customHeight="1" spans="1:10" x14ac:dyDescent="0.25">
      <c r="A14" s="1">
        <f>'equipment-shields'!F3</f>
        <v>5</v>
      </c>
      <c r="B14" s="1">
        <v>4</v>
      </c>
      <c r="F14" s="6">
        <v>10</v>
      </c>
      <c r="G14" s="6">
        <f>DAMAGEAFTERAC(F14,B4, ArmorClassModifier)</f>
        <v>5</v>
      </c>
      <c r="H14" s="6">
        <f>DAMAGEAFTERAC(F14,C4, ArmorClassModifier)</f>
        <v>4</v>
      </c>
      <c r="I14" s="6">
        <f>DAMAGEAFTERAC(F14,D4, ArmorClassModifier)</f>
        <v>6</v>
      </c>
      <c r="J14" s="6">
        <f>DAMAGEAFTERAC(F14,E4, ArmorClassModifier)</f>
        <v>7</v>
      </c>
    </row>
    <row r="15" ht="13.5" customHeight="1" spans="1:10" x14ac:dyDescent="0.25">
      <c r="A15" s="1">
        <f>'equipment-shields'!F4</f>
        <v>14</v>
      </c>
      <c r="F15" s="6">
        <v>18</v>
      </c>
      <c r="G15" s="6">
        <f>DAMAGEAFTERAC(F15,B5, ArmorClassModifier)</f>
        <v>10</v>
      </c>
      <c r="H15" s="6">
        <f>DAMAGEAFTERAC(F15,C5, ArmorClassModifier)</f>
        <v>10</v>
      </c>
      <c r="I15" s="6">
        <f>DAMAGEAFTERAC(F15,D5, ArmorClassModifier)</f>
        <v>12</v>
      </c>
      <c r="J15" s="6">
        <f>DAMAGEAFTERAC(F15,E5, ArmorClassModifier)</f>
        <v>13</v>
      </c>
    </row>
    <row r="16" ht="13.5" customHeight="1" spans="1:10" x14ac:dyDescent="0.25">
      <c r="A16" s="1">
        <f>'equipment-shields'!F5</f>
        <v>13</v>
      </c>
      <c r="B16" s="1">
        <v>14</v>
      </c>
      <c r="F16" s="6">
        <v>30</v>
      </c>
      <c r="G16" s="6">
        <f>DAMAGEAFTERAC(F16,B6, ArmorClassModifier)</f>
        <v>19</v>
      </c>
      <c r="H16" s="6"/>
      <c r="I16" s="6">
        <f>DAMAGEAFTERAC(F16,D6, ArmorClassModifier)</f>
        <v>20</v>
      </c>
      <c r="J16" s="6">
        <f>DAMAGEAFTERAC(F16,E6, ArmorClassModifier)</f>
        <v>25</v>
      </c>
    </row>
    <row r="17" ht="13.5" customHeight="1" spans="1:10" x14ac:dyDescent="0.25">
      <c r="A17" s="1">
        <f>'equipment-shields'!F6</f>
        <v>19</v>
      </c>
      <c r="F17" s="6">
        <v>50</v>
      </c>
      <c r="G17" s="6">
        <f>DAMAGEAFTERAC(F17,B7, ArmorClassModifier )</f>
        <v>35</v>
      </c>
      <c r="H17" s="6">
        <f>DAMAGEAFTERAC(F17,C7, ArmorClassModifier)</f>
        <v>36</v>
      </c>
      <c r="I17" s="6"/>
      <c r="J17" s="6">
        <f>DAMAGEAFTERAC(F17,E7, ArmorClassModifier)</f>
        <v>39</v>
      </c>
    </row>
    <row r="18" ht="13.5" customHeight="1" spans="1:2" x14ac:dyDescent="0.25">
      <c r="A18" s="1">
        <f>'equipment-shields'!F7</f>
        <v>18</v>
      </c>
      <c r="B18" s="1">
        <v>18</v>
      </c>
    </row>
    <row r="19" ht="13.5" customHeight="1" spans="1:7" x14ac:dyDescent="0.25">
      <c r="A19" s="1">
        <f>'equipment-shields'!F8</f>
        <v>15</v>
      </c>
      <c r="G19" s="1" t="s">
        <v>27</v>
      </c>
    </row>
    <row r="20" ht="13.5" customHeight="1" spans="1:10" x14ac:dyDescent="0.25">
      <c r="A20" s="1">
        <f>'equipment-shields'!F9</f>
        <v>23</v>
      </c>
      <c r="B20" s="1">
        <v>21</v>
      </c>
      <c r="F20" s="6" t="s">
        <v>26</v>
      </c>
      <c r="G20" s="6" t="s">
        <v>13</v>
      </c>
      <c r="H20" s="6" t="s">
        <v>14</v>
      </c>
      <c r="I20" s="6" t="s">
        <v>15</v>
      </c>
      <c r="J20" s="6" t="s">
        <v>16</v>
      </c>
    </row>
    <row r="21" ht="13.5" customHeight="1" spans="1:10" x14ac:dyDescent="0.25">
      <c r="A21" s="1">
        <f>'equipment-shields'!F10</f>
        <v>28</v>
      </c>
      <c r="F21" s="6">
        <v>5</v>
      </c>
      <c r="G21" s="6"/>
      <c r="H21" s="6">
        <f>DAMAGEAFTERAC(F21,C3+$B$14, ArmorClassModifier)</f>
        <v>2</v>
      </c>
      <c r="I21" s="6">
        <f>DAMAGEAFTERAC(F21,D3+$B$14, ArmorClassModifier)</f>
        <v>2</v>
      </c>
      <c r="J21" s="6">
        <f>DAMAGEAFTERAC(F21,E3+$B$14, ArmorClassModifier)</f>
        <v>2</v>
      </c>
    </row>
    <row r="22" ht="13.5" customHeight="1" spans="1:10" x14ac:dyDescent="0.25">
      <c r="A22" s="1">
        <f>'equipment-shields'!F11</f>
        <v>24</v>
      </c>
      <c r="F22" s="6">
        <v>10</v>
      </c>
      <c r="G22" s="6">
        <f>DAMAGEAFTERAC(F22,B4+$B$16, ArmorClassModifier)</f>
        <v>4</v>
      </c>
      <c r="H22" s="6">
        <f>DAMAGEAFTERAC(F22,C4+$B$16, ArmorClassModifier)</f>
        <v>3</v>
      </c>
      <c r="I22" s="6">
        <f>DAMAGEAFTERAC(F22,D4+$B$16, ArmorClassModifier)</f>
        <v>4</v>
      </c>
      <c r="J22" s="6">
        <f>DAMAGEAFTERAC(F22,E4+$B$16, ArmorClassModifier)</f>
        <v>5</v>
      </c>
    </row>
    <row r="23" ht="13.5" customHeight="1" spans="1:10" x14ac:dyDescent="0.25">
      <c r="A23" s="1">
        <f>'equipment-shields'!F12</f>
        <v>28</v>
      </c>
      <c r="B23" s="1">
        <v>26</v>
      </c>
      <c r="F23" s="6">
        <v>18</v>
      </c>
      <c r="G23" s="6">
        <f>DAMAGEAFTERAC(F23,B5+$B$18, ArmorClassModifier)</f>
        <v>8</v>
      </c>
      <c r="H23" s="6">
        <f>DAMAGEAFTERAC(F23,C5+$B$18, ArmorClassModifier)</f>
        <v>8</v>
      </c>
      <c r="I23" s="6">
        <f>DAMAGEAFTERAC(F23,D5+$B$18, ArmorClassModifier)</f>
        <v>9</v>
      </c>
      <c r="J23" s="6">
        <f>DAMAGEAFTERAC(F23,E5+$B$18, ArmorClassModifier)</f>
        <v>10</v>
      </c>
    </row>
    <row r="24" ht="13.5" customHeight="1" spans="6:10" x14ac:dyDescent="0.25">
      <c r="F24" s="6">
        <v>30</v>
      </c>
      <c r="G24" s="6">
        <f>DAMAGEAFTERAC(F24,B6+$B$20, ArmorClassModifier)</f>
        <v>16</v>
      </c>
      <c r="H24" s="6">
        <f>DAMAGEAFTERAC(F24,C6+$B$20, ArmorClassModifier)</f>
        <v>16</v>
      </c>
      <c r="I24" s="6">
        <f>DAMAGEAFTERAC(F24,D6+$B$20, ArmorClassModifier)</f>
        <v>17</v>
      </c>
      <c r="J24" s="6">
        <f>DAMAGEAFTERAC(F24,E6+$B$20, ArmorClassModifier)</f>
        <v>20</v>
      </c>
    </row>
    <row r="25" ht="13.5" customHeight="1" spans="6:10" x14ac:dyDescent="0.25">
      <c r="F25" s="6">
        <v>50</v>
      </c>
      <c r="G25" s="6">
        <f>DAMAGEAFTERAC(F25,B7+$B$23, ArmorClassModifier)</f>
        <v>30</v>
      </c>
      <c r="H25" s="6">
        <f>DAMAGEAFTERAC(F25,C7+$B$23, ArmorClassModifier)</f>
        <v>32</v>
      </c>
      <c r="J25" s="6">
        <f>DAMAGEAFTERAC(F25,E7+$B$23, ArmorClassModifier)</f>
        <v>33</v>
      </c>
    </row>
    <row r="26" ht="13.5" customHeight="1" x14ac:dyDescent="0.25"/>
    <row r="27" ht="13.5" customHeight="1" x14ac:dyDescent="0.25"/>
    <row r="28" ht="12.75" customHeight="1" spans="1:2" x14ac:dyDescent="0.25">
      <c r="A28" s="1" t="s">
        <v>28</v>
      </c>
      <c r="B28" s="1">
        <v>7</v>
      </c>
    </row>
    <row r="29" ht="12.75" customHeight="1" spans="1:2" x14ac:dyDescent="0.25">
      <c r="A29" s="1" t="s">
        <v>29</v>
      </c>
      <c r="B29" s="1">
        <v>20</v>
      </c>
    </row>
    <row r="30" ht="12.75" customHeight="1" spans="1:2" x14ac:dyDescent="0.25">
      <c r="A30" s="1" t="s">
        <v>30</v>
      </c>
      <c r="B30" s="1">
        <v>2.5</v>
      </c>
    </row>
    <row r="31" ht="12.75" customHeight="1" spans="1:2" x14ac:dyDescent="0.25">
      <c r="A31" s="1" t="s">
        <v>31</v>
      </c>
      <c r="B31" s="1">
        <f>B29*B30</f>
        <v>50</v>
      </c>
    </row>
    <row r="32" ht="12.75" customHeight="1" spans="1:2" x14ac:dyDescent="0.25">
      <c r="A32" s="1" t="s">
        <v>32</v>
      </c>
      <c r="B32" s="1">
        <v>5</v>
      </c>
    </row>
    <row r="33" ht="12.75" customHeight="1" spans="1:2" x14ac:dyDescent="0.25">
      <c r="A33" s="1" t="s">
        <v>33</v>
      </c>
      <c r="B33" s="1">
        <v>10</v>
      </c>
    </row>
    <row r="34" ht="12.75" customHeight="1" spans="1:2" x14ac:dyDescent="0.25">
      <c r="A34" s="1" t="s">
        <v>34</v>
      </c>
      <c r="B34" s="1">
        <f>(B33-1)*B32</f>
        <v>45</v>
      </c>
    </row>
    <row r="35" ht="12.75" customHeight="1" spans="1:2" x14ac:dyDescent="0.25">
      <c r="A35" s="1" t="s">
        <v>35</v>
      </c>
      <c r="B35" s="1">
        <f>B33/2</f>
        <v>5</v>
      </c>
    </row>
    <row r="36" ht="12.75" customHeight="1" spans="1:2" x14ac:dyDescent="0.25">
      <c r="A36" s="1" t="s">
        <v>36</v>
      </c>
      <c r="B36" s="1">
        <v>2</v>
      </c>
    </row>
    <row r="37" ht="12.75" customHeight="1" spans="1:2" x14ac:dyDescent="0.25">
      <c r="A37" s="1" t="s">
        <v>37</v>
      </c>
      <c r="B37" s="1">
        <f>B36*B35</f>
        <v>10</v>
      </c>
    </row>
    <row r="38" ht="12.75" customHeight="1" spans="1:2" x14ac:dyDescent="0.25">
      <c r="A38" s="1" t="s">
        <v>38</v>
      </c>
      <c r="B38" s="1">
        <f>B37+B34</f>
        <v>55</v>
      </c>
    </row>
    <row r="39" ht="13.5" customHeight="1" spans="1:2" x14ac:dyDescent="0.25">
      <c r="A39" s="1" t="s">
        <v>39</v>
      </c>
      <c r="B39" s="1">
        <f>B29*B28</f>
        <v>140</v>
      </c>
    </row>
    <row r="40" ht="13.5" customHeight="1" spans="1:2" x14ac:dyDescent="0.25">
      <c r="A40" s="1" t="s">
        <v>40</v>
      </c>
      <c r="B40" s="1">
        <f>'by-level-attribute-visual'!B12</f>
        <v>25</v>
      </c>
    </row>
    <row r="41" ht="13.5" customHeight="1" spans="1:2" x14ac:dyDescent="0.25">
      <c r="A41" s="1" t="s">
        <v>41</v>
      </c>
      <c r="B41" s="1">
        <f>B39+B38+B40</f>
        <v>220</v>
      </c>
    </row>
    <row r="42" ht="12.75" customHeight="1" spans="1:3" x14ac:dyDescent="0.25">
      <c r="A42" s="1" t="s">
        <v>42</v>
      </c>
      <c r="B42" s="1">
        <v>0.35</v>
      </c>
      <c r="C42" s="1"/>
    </row>
    <row r="43" ht="12.75" customHeight="1" spans="1:3" x14ac:dyDescent="0.25">
      <c r="A43" s="1" t="s">
        <v>43</v>
      </c>
      <c r="B43" s="1">
        <f>B42*B41</f>
        <v>77</v>
      </c>
      <c r="C43" s="1"/>
    </row>
    <row r="44" ht="12.75" customHeight="1" spans="3:3" x14ac:dyDescent="0.25">
      <c r="C44" s="1"/>
    </row>
    <row r="45" ht="12.75" customHeight="1" spans="3:3" x14ac:dyDescent="0.25">
      <c r="C45" s="1"/>
    </row>
    <row r="46" ht="12.75" customHeight="1" spans="3:3" x14ac:dyDescent="0.25">
      <c r="C46" s="1"/>
    </row>
    <row r="47" ht="12.75" customHeight="1" spans="3:3" x14ac:dyDescent="0.25">
      <c r="C47" s="1"/>
    </row>
    <row r="48" ht="12.75" customHeight="1" spans="3:3" x14ac:dyDescent="0.25">
      <c r="C48" s="1"/>
    </row>
    <row r="49" ht="12.75" customHeight="1" spans="3:3" x14ac:dyDescent="0.25">
      <c r="C49" s="1"/>
    </row>
    <row r="50" ht="12.75" customHeight="1" spans="3:3" x14ac:dyDescent="0.25">
      <c r="C50" s="1"/>
    </row>
    <row r="51" ht="12.75" customHeight="1" spans="3:3" x14ac:dyDescent="0.25">
      <c r="C51" s="1"/>
    </row>
    <row r="52" ht="12.75" customHeight="1" spans="3:3" x14ac:dyDescent="0.25">
      <c r="C52" s="1"/>
    </row>
    <row r="53" ht="12.75" customHeight="1" spans="3:3" x14ac:dyDescent="0.25">
      <c r="C53" s="1"/>
    </row>
    <row r="54" ht="12.75" customHeight="1" spans="3:3" x14ac:dyDescent="0.25">
      <c r="C54" s="1"/>
    </row>
    <row r="55" ht="12.75" customHeight="1" spans="3:3" x14ac:dyDescent="0.25">
      <c r="C55" s="1"/>
    </row>
    <row r="56" ht="12.75" customHeight="1" spans="3:3" x14ac:dyDescent="0.25">
      <c r="C56" s="1"/>
    </row>
    <row r="57" ht="12.75" customHeight="1" spans="3:3" x14ac:dyDescent="0.25">
      <c r="C57" s="1"/>
    </row>
    <row r="58" ht="12.75" customHeight="1" spans="3:3" x14ac:dyDescent="0.25">
      <c r="C58" s="1"/>
    </row>
    <row r="59" ht="12.75" customHeight="1" spans="3:3" x14ac:dyDescent="0.25">
      <c r="C59" s="1"/>
    </row>
    <row r="60" ht="12.75" customHeight="1" spans="3:3" x14ac:dyDescent="0.25">
      <c r="C60" s="1"/>
    </row>
    <row r="61" ht="12.75" customHeight="1" spans="3:3" x14ac:dyDescent="0.25">
      <c r="C61" s="1"/>
    </row>
    <row r="62" ht="12.75" customHeight="1" spans="3:3" x14ac:dyDescent="0.25">
      <c r="C62" s="1"/>
    </row>
    <row r="63" ht="12.75" customHeight="1" spans="3:3" x14ac:dyDescent="0.25">
      <c r="C63" s="1"/>
    </row>
    <row r="64" ht="12.75" customHeight="1" spans="3:3" x14ac:dyDescent="0.25">
      <c r="C64" s="1"/>
    </row>
    <row r="65" ht="12.75" customHeight="1" spans="3:3" x14ac:dyDescent="0.25">
      <c r="C65" s="1"/>
    </row>
    <row r="66" ht="12.75" customHeight="1" spans="3:3" x14ac:dyDescent="0.25">
      <c r="C66" s="1"/>
    </row>
    <row r="67" ht="12.75" customHeight="1" spans="3:3" x14ac:dyDescent="0.25">
      <c r="C67" s="1"/>
    </row>
    <row r="68" ht="12.75" customHeight="1" spans="3:3" x14ac:dyDescent="0.25">
      <c r="C68" s="1"/>
    </row>
    <row r="69" ht="12.75" customHeight="1" spans="3:3" x14ac:dyDescent="0.25">
      <c r="C69" s="1"/>
    </row>
    <row r="70" ht="12.75" customHeight="1" spans="3:3" x14ac:dyDescent="0.25">
      <c r="C70" s="1"/>
    </row>
    <row r="71" ht="12.75" customHeight="1" spans="3:3" x14ac:dyDescent="0.25">
      <c r="C71" s="1"/>
    </row>
    <row r="72" ht="12.75" customHeight="1" spans="3:3" x14ac:dyDescent="0.25">
      <c r="C72" s="1"/>
    </row>
    <row r="73" ht="12.75" customHeight="1" spans="3:3" x14ac:dyDescent="0.25">
      <c r="C73" s="1"/>
    </row>
    <row r="74" ht="12.75" customHeight="1" spans="3:3" x14ac:dyDescent="0.25">
      <c r="C74" s="1"/>
    </row>
    <row r="75" ht="12.75" customHeight="1" spans="3:3" x14ac:dyDescent="0.25">
      <c r="C75" s="1"/>
    </row>
    <row r="76" ht="12.75" customHeight="1" spans="3:3" x14ac:dyDescent="0.25">
      <c r="C76" s="1"/>
    </row>
    <row r="77" ht="12.75" customHeight="1" spans="3:3" x14ac:dyDescent="0.25">
      <c r="C77" s="1"/>
    </row>
    <row r="78" ht="12.75" customHeight="1" spans="3:3" x14ac:dyDescent="0.25">
      <c r="C78" s="1"/>
    </row>
    <row r="79" ht="12.75" customHeight="1" spans="3:3" x14ac:dyDescent="0.25">
      <c r="C79" s="1"/>
    </row>
    <row r="80" ht="12.75" customHeight="1" spans="3:3" x14ac:dyDescent="0.25">
      <c r="C80" s="1"/>
    </row>
    <row r="81" ht="12.75" customHeight="1" spans="3:3" x14ac:dyDescent="0.25">
      <c r="C81" s="1"/>
    </row>
    <row r="82" ht="12.75" customHeight="1" spans="3:3" x14ac:dyDescent="0.25">
      <c r="C82" s="1"/>
    </row>
  </sheetData>
  <mergeCells count="1">
    <mergeCell ref="B1:E1"/>
  </mergeCells>
  <pageMargins left="0.7875" right="0.7875" top="1.05277777777778" bottom="1.05277777777778" header="0.7875" footer="0.7875"/>
  <pageSetup paperSize="1" orientation="portrait" horizontalDpi="300" verticalDpi="300" scale="100" fitToWidth="1" fitToHeight="1" firstPageNumber="1" useFirstPageNumber="1" copies="1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48576"/>
  <sheetViews>
    <sheetView workbookViewId="0" zoomScale="150" zoomScaleNormal="150" view="normal">
      <pane ySplit="1" topLeftCell="A2" activePane="bottomLeft" state="frozen"/>
      <selection pane="bottomLeft" activeCell="E13" sqref="E13"/>
    </sheetView>
  </sheetViews>
  <sheetFormatPr defaultRowHeight="15" outlineLevelRow="0" outlineLevelCol="0" x14ac:dyDescent="0" defaultColWidth="11.55078125"/>
  <cols>
    <col min="1" max="1" width="16.43" style="6" customWidth="1"/>
    <col min="2" max="2" width="14.94" style="6" customWidth="1"/>
    <col min="3" max="3" width="16.3" style="6" customWidth="1"/>
    <col min="4" max="4" width="7.45" style="6" customWidth="1"/>
    <col min="5" max="5" width="7.74" style="6" customWidth="1"/>
    <col min="6" max="6" width="7" style="6" customWidth="1"/>
    <col min="7" max="7" width="7.29" style="6" customWidth="1"/>
    <col min="8" max="8" width="14.44" style="6" customWidth="1"/>
    <col min="9" max="9" width="9.54" style="6" customWidth="1"/>
    <col min="10" max="10" width="6.77" style="6" customWidth="1"/>
    <col min="11" max="11" width="7.62" style="6" customWidth="1"/>
    <col min="12" max="12" width="7.17" style="6" customWidth="1"/>
    <col min="13" max="13" width="6.77" style="6" customWidth="1"/>
    <col min="14" max="14" width="7.11" style="6" customWidth="1"/>
    <col min="15" max="16384" width="11.55" style="6" customWidth="1"/>
  </cols>
  <sheetData>
    <row r="1" ht="15" customHeight="1" spans="1:14" s="8" customFormat="1" x14ac:dyDescent="0.25">
      <c r="A1" s="8" t="s">
        <v>44</v>
      </c>
      <c r="B1" s="8" t="s">
        <v>45</v>
      </c>
      <c r="C1" s="8" t="s">
        <v>46</v>
      </c>
      <c r="D1" s="8" t="s">
        <v>47</v>
      </c>
      <c r="E1" s="8" t="s">
        <v>48</v>
      </c>
      <c r="F1" s="8" t="s">
        <v>49</v>
      </c>
      <c r="G1" s="8" t="s">
        <v>50</v>
      </c>
      <c r="H1" s="8" t="s">
        <v>51</v>
      </c>
      <c r="I1" s="8" t="s">
        <v>52</v>
      </c>
      <c r="J1" s="8" t="s">
        <v>53</v>
      </c>
      <c r="K1" s="8" t="s">
        <v>54</v>
      </c>
      <c r="L1" s="8" t="s">
        <v>55</v>
      </c>
      <c r="M1" s="8" t="s">
        <v>56</v>
      </c>
      <c r="N1" s="8" t="s">
        <v>57</v>
      </c>
    </row>
    <row r="2" ht="13.5" customHeight="1" spans="1:9" x14ac:dyDescent="0.25">
      <c r="A2" s="6" t="s">
        <v>58</v>
      </c>
      <c r="B2" s="6" t="s">
        <v>59</v>
      </c>
      <c r="C2" s="6" t="s">
        <v>60</v>
      </c>
      <c r="D2" s="6">
        <v>1</v>
      </c>
      <c r="E2" s="6">
        <v>3</v>
      </c>
      <c r="F2" s="9">
        <v>1</v>
      </c>
      <c r="G2" s="9">
        <v>3</v>
      </c>
      <c r="H2" s="6" t="s">
        <v>16</v>
      </c>
      <c r="I2" s="6">
        <v>12</v>
      </c>
    </row>
    <row r="3" ht="13.5" customHeight="1" spans="1:12" x14ac:dyDescent="0.25">
      <c r="A3" s="6" t="s">
        <v>61</v>
      </c>
      <c r="B3" s="6" t="s">
        <v>59</v>
      </c>
      <c r="C3" s="6" t="s">
        <v>60</v>
      </c>
      <c r="D3" s="6">
        <v>2</v>
      </c>
      <c r="E3" s="6">
        <v>4</v>
      </c>
      <c r="F3" s="9">
        <v>2</v>
      </c>
      <c r="G3" s="9">
        <v>5</v>
      </c>
      <c r="H3" s="6" t="s">
        <v>16</v>
      </c>
      <c r="I3" s="6">
        <v>14</v>
      </c>
      <c r="L3" s="9">
        <v>15</v>
      </c>
    </row>
    <row r="4" ht="13.5" customHeight="1" spans="1:12" x14ac:dyDescent="0.25">
      <c r="A4" s="6" t="s">
        <v>62</v>
      </c>
      <c r="B4" s="6" t="s">
        <v>59</v>
      </c>
      <c r="C4" s="6" t="s">
        <v>60</v>
      </c>
      <c r="D4" s="6">
        <v>3</v>
      </c>
      <c r="E4" s="6">
        <v>7</v>
      </c>
      <c r="F4" s="9">
        <v>4</v>
      </c>
      <c r="G4" s="9">
        <v>8</v>
      </c>
      <c r="H4" s="6" t="s">
        <v>16</v>
      </c>
      <c r="I4" s="6">
        <v>20</v>
      </c>
      <c r="L4" s="9">
        <v>30</v>
      </c>
    </row>
    <row r="5" ht="13.5" customHeight="1" spans="1:12" x14ac:dyDescent="0.25">
      <c r="A5" s="6" t="s">
        <v>63</v>
      </c>
      <c r="B5" s="6" t="s">
        <v>59</v>
      </c>
      <c r="C5" s="6" t="s">
        <v>60</v>
      </c>
      <c r="D5" s="6">
        <v>6</v>
      </c>
      <c r="E5" s="6">
        <v>9</v>
      </c>
      <c r="F5" s="9">
        <v>8</v>
      </c>
      <c r="G5" s="9">
        <v>12</v>
      </c>
      <c r="H5" s="6" t="s">
        <v>16</v>
      </c>
      <c r="I5" s="6">
        <v>22</v>
      </c>
      <c r="L5" s="9">
        <v>40</v>
      </c>
    </row>
    <row r="6" ht="13.5" customHeight="1" spans="1:12" x14ac:dyDescent="0.25">
      <c r="A6" s="6" t="s">
        <v>64</v>
      </c>
      <c r="B6" s="6" t="s">
        <v>59</v>
      </c>
      <c r="C6" s="6" t="s">
        <v>60</v>
      </c>
      <c r="D6" s="6">
        <v>8</v>
      </c>
      <c r="E6" s="6">
        <v>10</v>
      </c>
      <c r="F6" s="9">
        <v>12</v>
      </c>
      <c r="G6" s="9">
        <v>20</v>
      </c>
      <c r="H6" s="6" t="s">
        <v>16</v>
      </c>
      <c r="I6" s="6">
        <v>28</v>
      </c>
      <c r="L6" s="9">
        <v>52</v>
      </c>
    </row>
    <row r="7" ht="13.5" customHeight="1" x14ac:dyDescent="0.25"/>
    <row r="8" ht="13.5" customHeight="1" spans="1:9" x14ac:dyDescent="0.25">
      <c r="A8" s="6" t="s">
        <v>65</v>
      </c>
      <c r="B8" s="6" t="s">
        <v>66</v>
      </c>
      <c r="C8" s="6" t="s">
        <v>67</v>
      </c>
      <c r="D8" s="6">
        <v>1</v>
      </c>
      <c r="E8" s="6">
        <v>3</v>
      </c>
      <c r="F8" s="6">
        <v>1</v>
      </c>
      <c r="G8" s="6">
        <v>2</v>
      </c>
      <c r="H8" s="6" t="s">
        <v>16</v>
      </c>
      <c r="I8" s="6">
        <v>12</v>
      </c>
    </row>
    <row r="9" ht="13.5" customHeight="1" spans="1:9" x14ac:dyDescent="0.25">
      <c r="A9" s="6" t="s">
        <v>68</v>
      </c>
      <c r="B9" s="6" t="s">
        <v>66</v>
      </c>
      <c r="C9" s="6" t="s">
        <v>67</v>
      </c>
      <c r="D9" s="6">
        <v>2</v>
      </c>
      <c r="E9" s="6">
        <v>4</v>
      </c>
      <c r="F9" s="6">
        <v>2</v>
      </c>
      <c r="G9" s="6">
        <v>4</v>
      </c>
      <c r="H9" s="6" t="s">
        <v>16</v>
      </c>
      <c r="I9" s="6">
        <v>14</v>
      </c>
    </row>
    <row r="10" ht="13.5" customHeight="1" spans="1:9" x14ac:dyDescent="0.25">
      <c r="A10" s="6" t="s">
        <v>69</v>
      </c>
      <c r="B10" s="6" t="s">
        <v>66</v>
      </c>
      <c r="C10" s="6" t="s">
        <v>67</v>
      </c>
      <c r="D10" s="6">
        <v>3</v>
      </c>
      <c r="E10" s="6">
        <v>6</v>
      </c>
      <c r="F10" s="6">
        <v>3</v>
      </c>
      <c r="G10" s="6">
        <v>6</v>
      </c>
      <c r="H10" s="6" t="s">
        <v>16</v>
      </c>
      <c r="I10" s="6">
        <v>14</v>
      </c>
    </row>
    <row r="11" ht="13.5" customHeight="1" spans="1:9" x14ac:dyDescent="0.25">
      <c r="A11" s="6" t="s">
        <v>70</v>
      </c>
      <c r="B11" s="6" t="s">
        <v>66</v>
      </c>
      <c r="C11" s="6" t="s">
        <v>67</v>
      </c>
      <c r="D11" s="6">
        <v>5</v>
      </c>
      <c r="E11" s="6">
        <v>10</v>
      </c>
      <c r="F11" s="6">
        <v>1</v>
      </c>
      <c r="G11" s="6">
        <v>1</v>
      </c>
      <c r="H11" s="6" t="s">
        <v>16</v>
      </c>
      <c r="I11" s="6">
        <v>8</v>
      </c>
    </row>
    <row r="12" ht="13.5" customHeight="1" spans="1:9" x14ac:dyDescent="0.25">
      <c r="A12" s="6" t="s">
        <v>71</v>
      </c>
      <c r="B12" s="6" t="s">
        <v>66</v>
      </c>
      <c r="C12" s="6" t="s">
        <v>67</v>
      </c>
      <c r="D12" s="6">
        <v>7</v>
      </c>
      <c r="E12" s="6">
        <v>10</v>
      </c>
      <c r="F12" s="6">
        <v>6</v>
      </c>
      <c r="G12" s="6">
        <v>14</v>
      </c>
      <c r="H12" s="6" t="s">
        <v>16</v>
      </c>
      <c r="I12" s="6">
        <v>20</v>
      </c>
    </row>
    <row r="13" ht="13.5" customHeight="1" x14ac:dyDescent="0.25"/>
    <row r="14" ht="13.5" customHeight="1" spans="1:11" x14ac:dyDescent="0.25">
      <c r="A14" s="6" t="s">
        <v>72</v>
      </c>
      <c r="B14" s="6" t="s">
        <v>59</v>
      </c>
      <c r="C14" s="6" t="s">
        <v>73</v>
      </c>
      <c r="D14" s="6">
        <v>3</v>
      </c>
      <c r="E14" s="6">
        <v>5</v>
      </c>
      <c r="F14" s="9">
        <v>2</v>
      </c>
      <c r="G14" s="9">
        <v>5</v>
      </c>
      <c r="H14" s="6" t="s">
        <v>15</v>
      </c>
      <c r="I14" s="6">
        <v>16</v>
      </c>
      <c r="K14" s="9">
        <v>10</v>
      </c>
    </row>
    <row r="15" ht="13.5" customHeight="1" spans="1:11" x14ac:dyDescent="0.25">
      <c r="A15" s="6" t="s">
        <v>74</v>
      </c>
      <c r="B15" s="6" t="s">
        <v>59</v>
      </c>
      <c r="C15" s="6" t="s">
        <v>73</v>
      </c>
      <c r="D15" s="6">
        <v>5</v>
      </c>
      <c r="E15" s="6">
        <v>7</v>
      </c>
      <c r="F15" s="9">
        <v>4</v>
      </c>
      <c r="G15" s="9">
        <v>7</v>
      </c>
      <c r="H15" s="6" t="s">
        <v>15</v>
      </c>
      <c r="I15" s="6">
        <v>18</v>
      </c>
      <c r="J15" s="9">
        <v>8</v>
      </c>
      <c r="K15" s="9">
        <v>8</v>
      </c>
    </row>
    <row r="16" ht="13.5" customHeight="1" spans="1:11" x14ac:dyDescent="0.25">
      <c r="A16" s="6" t="s">
        <v>75</v>
      </c>
      <c r="B16" s="6" t="s">
        <v>59</v>
      </c>
      <c r="C16" s="6" t="s">
        <v>73</v>
      </c>
      <c r="D16" s="6">
        <v>6</v>
      </c>
      <c r="E16" s="6">
        <v>8</v>
      </c>
      <c r="F16" s="9">
        <v>7</v>
      </c>
      <c r="G16" s="9">
        <v>12</v>
      </c>
      <c r="H16" s="6" t="s">
        <v>15</v>
      </c>
      <c r="I16" s="6">
        <v>24</v>
      </c>
      <c r="K16" s="9">
        <v>33</v>
      </c>
    </row>
    <row r="17" ht="13.5" customHeight="1" spans="1:12" x14ac:dyDescent="0.25">
      <c r="A17" s="6" t="s">
        <v>76</v>
      </c>
      <c r="B17" s="6" t="s">
        <v>59</v>
      </c>
      <c r="C17" s="6" t="s">
        <v>73</v>
      </c>
      <c r="D17" s="6">
        <v>8</v>
      </c>
      <c r="E17" s="6">
        <v>10</v>
      </c>
      <c r="F17" s="9">
        <v>14</v>
      </c>
      <c r="G17" s="9">
        <v>19</v>
      </c>
      <c r="H17" s="6" t="s">
        <v>15</v>
      </c>
      <c r="I17" s="6">
        <v>36</v>
      </c>
      <c r="K17" s="9">
        <v>21</v>
      </c>
      <c r="L17" s="9">
        <v>21</v>
      </c>
    </row>
    <row r="18" ht="13.5" customHeight="1" x14ac:dyDescent="0.25"/>
    <row r="19" ht="13.5" customHeight="1" spans="1:9" x14ac:dyDescent="0.25">
      <c r="A19" s="6" t="s">
        <v>77</v>
      </c>
      <c r="B19" s="6" t="s">
        <v>66</v>
      </c>
      <c r="C19" s="6" t="s">
        <v>78</v>
      </c>
      <c r="D19" s="6">
        <v>1</v>
      </c>
      <c r="E19" s="6">
        <v>3</v>
      </c>
      <c r="F19" s="6">
        <v>2</v>
      </c>
      <c r="G19" s="6">
        <v>4</v>
      </c>
      <c r="H19" s="6" t="s">
        <v>15</v>
      </c>
      <c r="I19" s="6">
        <v>14</v>
      </c>
    </row>
    <row r="20" ht="13.5" customHeight="1" spans="1:9" x14ac:dyDescent="0.25">
      <c r="A20" s="6" t="s">
        <v>79</v>
      </c>
      <c r="B20" s="6" t="s">
        <v>66</v>
      </c>
      <c r="C20" s="6" t="s">
        <v>78</v>
      </c>
      <c r="D20" s="6">
        <v>3</v>
      </c>
      <c r="E20" s="6">
        <v>5</v>
      </c>
      <c r="F20" s="6">
        <v>3</v>
      </c>
      <c r="G20" s="6">
        <v>5</v>
      </c>
      <c r="H20" s="6" t="s">
        <v>15</v>
      </c>
      <c r="I20" s="6">
        <v>16</v>
      </c>
    </row>
    <row r="21" ht="13.5" customHeight="1" spans="1:9" x14ac:dyDescent="0.25">
      <c r="A21" s="6" t="s">
        <v>80</v>
      </c>
      <c r="B21" s="6" t="s">
        <v>66</v>
      </c>
      <c r="C21" s="6" t="s">
        <v>78</v>
      </c>
      <c r="D21" s="6">
        <v>4</v>
      </c>
      <c r="E21" s="6">
        <v>8</v>
      </c>
      <c r="F21" s="6">
        <v>5</v>
      </c>
      <c r="G21" s="6">
        <v>8</v>
      </c>
      <c r="H21" s="6" t="s">
        <v>15</v>
      </c>
      <c r="I21" s="6">
        <v>18</v>
      </c>
    </row>
    <row r="22" ht="13.5" customHeight="1" spans="1:9" x14ac:dyDescent="0.25">
      <c r="A22" s="6" t="s">
        <v>81</v>
      </c>
      <c r="B22" s="6" t="s">
        <v>66</v>
      </c>
      <c r="C22" s="6" t="s">
        <v>78</v>
      </c>
      <c r="D22" s="6">
        <v>9</v>
      </c>
      <c r="E22" s="6">
        <v>10</v>
      </c>
      <c r="F22" s="6">
        <v>10</v>
      </c>
      <c r="G22" s="6">
        <v>14</v>
      </c>
      <c r="H22" s="6" t="s">
        <v>15</v>
      </c>
      <c r="I22" s="6">
        <v>28</v>
      </c>
    </row>
    <row r="23" ht="13.5" customHeight="1" x14ac:dyDescent="0.25"/>
    <row r="24" ht="13.5" customHeight="1" spans="1:12" x14ac:dyDescent="0.25">
      <c r="A24" s="6" t="s">
        <v>82</v>
      </c>
      <c r="B24" s="6" t="s">
        <v>59</v>
      </c>
      <c r="C24" s="6" t="s">
        <v>83</v>
      </c>
      <c r="D24" s="6">
        <v>3</v>
      </c>
      <c r="E24" s="6">
        <v>5</v>
      </c>
      <c r="F24" s="9">
        <v>7</v>
      </c>
      <c r="G24" s="9">
        <v>10</v>
      </c>
      <c r="H24" s="6" t="s">
        <v>14</v>
      </c>
      <c r="I24" s="6">
        <v>19</v>
      </c>
      <c r="J24" s="9">
        <v>10</v>
      </c>
      <c r="L24" s="9">
        <v>10</v>
      </c>
    </row>
    <row r="25" ht="13.5" customHeight="1" spans="1:11" x14ac:dyDescent="0.25">
      <c r="A25" s="6" t="s">
        <v>84</v>
      </c>
      <c r="B25" s="6" t="s">
        <v>59</v>
      </c>
      <c r="C25" s="6" t="s">
        <v>83</v>
      </c>
      <c r="D25" s="6">
        <v>4</v>
      </c>
      <c r="E25" s="6">
        <v>6</v>
      </c>
      <c r="F25" s="9">
        <v>13</v>
      </c>
      <c r="G25" s="9">
        <v>16</v>
      </c>
      <c r="H25" s="6" t="s">
        <v>14</v>
      </c>
      <c r="I25" s="6">
        <v>21</v>
      </c>
      <c r="J25" s="9">
        <v>18</v>
      </c>
      <c r="K25" s="9">
        <v>18</v>
      </c>
    </row>
    <row r="26" ht="13.5" customHeight="1" spans="1:11" x14ac:dyDescent="0.25">
      <c r="A26" s="6" t="s">
        <v>85</v>
      </c>
      <c r="B26" s="6" t="s">
        <v>59</v>
      </c>
      <c r="C26" s="6" t="s">
        <v>83</v>
      </c>
      <c r="D26" s="6">
        <v>5</v>
      </c>
      <c r="E26" s="6">
        <v>7</v>
      </c>
      <c r="F26" s="9">
        <v>17</v>
      </c>
      <c r="G26" s="9">
        <v>20</v>
      </c>
      <c r="H26" s="6" t="s">
        <v>14</v>
      </c>
      <c r="I26" s="6">
        <v>25</v>
      </c>
      <c r="K26" s="9">
        <v>45</v>
      </c>
    </row>
    <row r="27" ht="13.5" customHeight="1" spans="1:12" x14ac:dyDescent="0.25">
      <c r="A27" s="6" t="s">
        <v>86</v>
      </c>
      <c r="B27" s="6" t="s">
        <v>59</v>
      </c>
      <c r="C27" s="6" t="s">
        <v>83</v>
      </c>
      <c r="D27" s="6">
        <v>5</v>
      </c>
      <c r="E27" s="6">
        <v>9</v>
      </c>
      <c r="F27" s="9">
        <v>21</v>
      </c>
      <c r="G27" s="9">
        <v>25</v>
      </c>
      <c r="H27" s="6" t="s">
        <v>14</v>
      </c>
      <c r="I27" s="6">
        <v>29</v>
      </c>
      <c r="K27" s="9">
        <v>27</v>
      </c>
      <c r="L27" s="9">
        <v>27</v>
      </c>
    </row>
    <row r="28" ht="13.5" customHeight="1" spans="1:11" x14ac:dyDescent="0.25">
      <c r="A28" s="6" t="s">
        <v>87</v>
      </c>
      <c r="B28" s="6" t="s">
        <v>59</v>
      </c>
      <c r="C28" s="6" t="s">
        <v>83</v>
      </c>
      <c r="D28" s="6">
        <v>8</v>
      </c>
      <c r="E28" s="6">
        <v>10</v>
      </c>
      <c r="F28" s="9">
        <v>20</v>
      </c>
      <c r="G28" s="9">
        <v>26</v>
      </c>
      <c r="H28" s="6" t="s">
        <v>14</v>
      </c>
      <c r="I28" s="6">
        <v>52</v>
      </c>
      <c r="K28" s="9">
        <v>55</v>
      </c>
    </row>
    <row r="29" ht="13.5" customHeight="1" x14ac:dyDescent="0.25"/>
    <row r="30" ht="13.5" customHeight="1" spans="1:9" x14ac:dyDescent="0.25">
      <c r="A30" s="6" t="s">
        <v>88</v>
      </c>
      <c r="B30" s="6" t="s">
        <v>66</v>
      </c>
      <c r="C30" s="6" t="s">
        <v>89</v>
      </c>
      <c r="D30" s="6">
        <v>3</v>
      </c>
      <c r="E30" s="6">
        <v>4</v>
      </c>
      <c r="F30" s="6">
        <v>2</v>
      </c>
      <c r="G30" s="6">
        <v>2</v>
      </c>
      <c r="H30" s="6" t="s">
        <v>14</v>
      </c>
      <c r="I30" s="6">
        <v>12</v>
      </c>
    </row>
    <row r="31" ht="13.5" customHeight="1" spans="1:9" x14ac:dyDescent="0.25">
      <c r="A31" s="6" t="s">
        <v>90</v>
      </c>
      <c r="B31" s="6" t="s">
        <v>66</v>
      </c>
      <c r="C31" s="6" t="s">
        <v>89</v>
      </c>
      <c r="D31" s="6">
        <v>4</v>
      </c>
      <c r="E31" s="6">
        <v>5</v>
      </c>
      <c r="F31" s="6">
        <v>8</v>
      </c>
      <c r="G31" s="6">
        <v>12</v>
      </c>
      <c r="H31" s="6" t="s">
        <v>14</v>
      </c>
      <c r="I31" s="6">
        <v>18</v>
      </c>
    </row>
    <row r="32" ht="13.5" customHeight="1" spans="1:9" x14ac:dyDescent="0.25">
      <c r="A32" s="6" t="s">
        <v>91</v>
      </c>
      <c r="B32" s="6" t="s">
        <v>66</v>
      </c>
      <c r="C32" s="6" t="s">
        <v>89</v>
      </c>
      <c r="D32" s="6">
        <v>5</v>
      </c>
      <c r="E32" s="6">
        <v>8</v>
      </c>
      <c r="F32" s="6">
        <v>13</v>
      </c>
      <c r="G32" s="6">
        <v>15</v>
      </c>
      <c r="H32" s="6" t="s">
        <v>14</v>
      </c>
      <c r="I32" s="6">
        <v>19</v>
      </c>
    </row>
    <row r="33" ht="13.5" customHeight="1" spans="1:9" x14ac:dyDescent="0.25">
      <c r="A33" s="6" t="s">
        <v>92</v>
      </c>
      <c r="B33" s="6" t="s">
        <v>66</v>
      </c>
      <c r="C33" s="6" t="s">
        <v>89</v>
      </c>
      <c r="D33" s="6">
        <v>7</v>
      </c>
      <c r="E33" s="6">
        <v>10</v>
      </c>
      <c r="F33" s="6">
        <v>15</v>
      </c>
      <c r="G33" s="6">
        <v>18</v>
      </c>
      <c r="H33" s="6" t="s">
        <v>14</v>
      </c>
      <c r="I33" s="6">
        <v>32</v>
      </c>
    </row>
    <row r="34" ht="13.5" customHeight="1" x14ac:dyDescent="0.25"/>
    <row r="35" ht="13.5" customHeight="1" spans="1:10" x14ac:dyDescent="0.25">
      <c r="A35" s="6" t="s">
        <v>93</v>
      </c>
      <c r="B35" s="6" t="s">
        <v>59</v>
      </c>
      <c r="C35" s="6" t="s">
        <v>94</v>
      </c>
      <c r="D35" s="6">
        <v>2</v>
      </c>
      <c r="E35" s="6">
        <v>4</v>
      </c>
      <c r="F35" s="9">
        <v>10</v>
      </c>
      <c r="G35" s="9">
        <v>14</v>
      </c>
      <c r="H35" s="6" t="s">
        <v>13</v>
      </c>
      <c r="I35" s="6">
        <v>20</v>
      </c>
      <c r="J35" s="9">
        <v>18</v>
      </c>
    </row>
    <row r="36" ht="13.5" customHeight="1" spans="1:10" x14ac:dyDescent="0.25">
      <c r="A36" s="6" t="s">
        <v>95</v>
      </c>
      <c r="B36" s="6" t="s">
        <v>59</v>
      </c>
      <c r="C36" s="6" t="s">
        <v>94</v>
      </c>
      <c r="D36" s="6">
        <v>4</v>
      </c>
      <c r="E36" s="6">
        <v>6</v>
      </c>
      <c r="F36" s="9">
        <v>16</v>
      </c>
      <c r="G36" s="9">
        <v>18</v>
      </c>
      <c r="H36" s="6" t="s">
        <v>13</v>
      </c>
      <c r="I36" s="6">
        <v>24</v>
      </c>
      <c r="J36" s="9">
        <v>35</v>
      </c>
    </row>
    <row r="37" ht="13.5" customHeight="1" spans="1:10" x14ac:dyDescent="0.25">
      <c r="A37" s="6" t="s">
        <v>96</v>
      </c>
      <c r="B37" s="6" t="s">
        <v>59</v>
      </c>
      <c r="C37" s="6" t="s">
        <v>94</v>
      </c>
      <c r="D37" s="6">
        <v>5</v>
      </c>
      <c r="E37" s="6">
        <v>8</v>
      </c>
      <c r="F37" s="9">
        <v>20</v>
      </c>
      <c r="G37" s="9">
        <v>26</v>
      </c>
      <c r="H37" s="6" t="s">
        <v>13</v>
      </c>
      <c r="I37" s="6">
        <v>34</v>
      </c>
      <c r="J37" s="9">
        <v>50</v>
      </c>
    </row>
    <row r="38" ht="13.5" customHeight="1" spans="1:10" x14ac:dyDescent="0.25">
      <c r="A38" s="6" t="s">
        <v>97</v>
      </c>
      <c r="B38" s="6" t="s">
        <v>59</v>
      </c>
      <c r="C38" s="6" t="s">
        <v>94</v>
      </c>
      <c r="D38" s="6">
        <v>8</v>
      </c>
      <c r="E38" s="6">
        <v>9</v>
      </c>
      <c r="F38" s="9">
        <v>27</v>
      </c>
      <c r="G38" s="9">
        <v>30</v>
      </c>
      <c r="H38" s="6" t="s">
        <v>13</v>
      </c>
      <c r="I38" s="6">
        <v>42</v>
      </c>
      <c r="J38" s="9">
        <v>60</v>
      </c>
    </row>
    <row r="39" ht="13.5" customHeight="1" x14ac:dyDescent="0.25"/>
    <row r="40" ht="13.5" customHeight="1" spans="1:9" x14ac:dyDescent="0.25">
      <c r="A40" s="6" t="s">
        <v>98</v>
      </c>
      <c r="B40" s="6" t="s">
        <v>66</v>
      </c>
      <c r="C40" s="6" t="s">
        <v>99</v>
      </c>
      <c r="D40" s="6">
        <v>2</v>
      </c>
      <c r="E40" s="6">
        <v>4</v>
      </c>
      <c r="F40" s="6">
        <v>3</v>
      </c>
      <c r="G40" s="6">
        <v>5</v>
      </c>
      <c r="H40" s="6" t="s">
        <v>13</v>
      </c>
      <c r="I40" s="6">
        <v>18</v>
      </c>
    </row>
    <row r="41" ht="13.5" customHeight="1" spans="1:9" x14ac:dyDescent="0.25">
      <c r="A41" s="6" t="s">
        <v>100</v>
      </c>
      <c r="B41" s="6" t="s">
        <v>66</v>
      </c>
      <c r="C41" s="6" t="s">
        <v>99</v>
      </c>
      <c r="D41" s="6">
        <v>4</v>
      </c>
      <c r="E41" s="6">
        <v>6</v>
      </c>
      <c r="F41" s="6">
        <v>10</v>
      </c>
      <c r="G41" s="6">
        <v>14</v>
      </c>
      <c r="H41" s="6" t="s">
        <v>13</v>
      </c>
      <c r="I41" s="6">
        <v>16</v>
      </c>
    </row>
    <row r="42" ht="13.5" customHeight="1" spans="1:9" x14ac:dyDescent="0.25">
      <c r="A42" s="6" t="s">
        <v>101</v>
      </c>
      <c r="B42" s="6" t="s">
        <v>66</v>
      </c>
      <c r="C42" s="6" t="s">
        <v>99</v>
      </c>
      <c r="D42" s="6">
        <v>6</v>
      </c>
      <c r="E42" s="6">
        <v>9</v>
      </c>
      <c r="F42" s="6">
        <v>15</v>
      </c>
      <c r="G42" s="6">
        <v>17</v>
      </c>
      <c r="H42" s="6" t="s">
        <v>13</v>
      </c>
      <c r="I42" s="6">
        <v>31</v>
      </c>
    </row>
    <row r="43" ht="13.5" customHeight="1" spans="1:9" x14ac:dyDescent="0.25">
      <c r="A43" s="6" t="s">
        <v>102</v>
      </c>
      <c r="B43" s="6" t="s">
        <v>66</v>
      </c>
      <c r="C43" s="6" t="s">
        <v>99</v>
      </c>
      <c r="D43" s="6">
        <v>9</v>
      </c>
      <c r="E43" s="6">
        <v>10</v>
      </c>
      <c r="F43" s="6">
        <v>18</v>
      </c>
      <c r="G43" s="6">
        <v>22</v>
      </c>
      <c r="H43" s="6" t="s">
        <v>13</v>
      </c>
      <c r="I43" s="6">
        <v>50</v>
      </c>
    </row>
    <row r="44" ht="13.5" customHeight="1" x14ac:dyDescent="0.25"/>
    <row r="46" ht="13.5" customHeight="1" x14ac:dyDescent="0.25"/>
    <row r="47" ht="13.5" customHeight="1" x14ac:dyDescent="0.25"/>
    <row r="48" ht="13.5" customHeight="1" x14ac:dyDescent="0.25"/>
    <row r="49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  <row r="58" ht="13.5" customHeight="1" x14ac:dyDescent="0.25"/>
    <row r="59" ht="13.5" customHeight="1" x14ac:dyDescent="0.25"/>
    <row r="60" ht="13.5" customHeight="1" x14ac:dyDescent="0.25"/>
    <row r="61" ht="13.5" customHeight="1" x14ac:dyDescent="0.25"/>
    <row r="62" ht="13.5" customHeight="1" x14ac:dyDescent="0.25"/>
    <row r="1048576" ht="12.75" customHeight="1" x14ac:dyDescent="0.25"/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50" zoomScaleNormal="150" view="normal">
      <pane ySplit="1" topLeftCell="A2" activePane="bottomLeft" state="frozen"/>
      <selection pane="bottomLeft" activeCell="G3" sqref="G3"/>
    </sheetView>
  </sheetViews>
  <sheetFormatPr defaultRowHeight="15" outlineLevelRow="0" outlineLevelCol="0" x14ac:dyDescent="0" defaultColWidth="8.43359375"/>
  <cols>
    <col min="1" max="1" width="10" style="6" customWidth="1"/>
    <col min="2" max="2" width="23.09" style="6" customWidth="1"/>
    <col min="3" max="3" width="35.49" style="6" customWidth="1"/>
    <col min="4" max="7" width="10" style="6" customWidth="1"/>
    <col min="8" max="8" width="28" style="6" customWidth="1"/>
    <col min="9" max="9" width="23" style="6" customWidth="1"/>
    <col min="10" max="15" width="10" style="6" customWidth="1"/>
  </cols>
  <sheetData>
    <row r="1" ht="15" customHeight="1" spans="1:15" s="8" customFormat="1" x14ac:dyDescent="0.25">
      <c r="A1" s="8" t="s">
        <v>44</v>
      </c>
      <c r="B1" s="8" t="s">
        <v>45</v>
      </c>
      <c r="C1" s="8" t="s">
        <v>46</v>
      </c>
      <c r="D1" s="8" t="s">
        <v>47</v>
      </c>
      <c r="E1" s="8" t="s">
        <v>48</v>
      </c>
      <c r="F1" s="8" t="s">
        <v>0</v>
      </c>
      <c r="G1" s="8" t="s">
        <v>1</v>
      </c>
      <c r="H1" s="8" t="s">
        <v>103</v>
      </c>
      <c r="I1" s="8" t="s">
        <v>104</v>
      </c>
      <c r="J1" s="8" t="s">
        <v>52</v>
      </c>
      <c r="K1" s="8" t="s">
        <v>53</v>
      </c>
      <c r="L1" s="8" t="s">
        <v>54</v>
      </c>
      <c r="M1" s="8" t="s">
        <v>55</v>
      </c>
      <c r="N1" s="8" t="s">
        <v>56</v>
      </c>
      <c r="O1" s="8" t="s">
        <v>57</v>
      </c>
    </row>
    <row r="2" ht="13.5" customHeight="1" spans="1:10" x14ac:dyDescent="0.25">
      <c r="A2" s="6" t="s">
        <v>105</v>
      </c>
      <c r="B2" s="6" t="s">
        <v>106</v>
      </c>
      <c r="C2" s="6" t="s">
        <v>107</v>
      </c>
      <c r="D2" s="6">
        <v>0</v>
      </c>
      <c r="E2" s="6">
        <v>0</v>
      </c>
      <c r="F2" s="6">
        <v>1</v>
      </c>
      <c r="G2" s="6">
        <v>3</v>
      </c>
      <c r="H2" s="6">
        <v>1</v>
      </c>
      <c r="I2" s="6" t="s">
        <v>108</v>
      </c>
      <c r="J2" s="6">
        <v>8</v>
      </c>
    </row>
    <row r="3" ht="13.5" customHeight="1" spans="1:10" x14ac:dyDescent="0.25">
      <c r="A3" s="6" t="s">
        <v>109</v>
      </c>
      <c r="B3" s="6" t="s">
        <v>106</v>
      </c>
      <c r="C3" s="6" t="s">
        <v>107</v>
      </c>
      <c r="D3" s="6">
        <v>1</v>
      </c>
      <c r="E3" s="6">
        <v>3</v>
      </c>
      <c r="F3" s="6">
        <v>1</v>
      </c>
      <c r="G3" s="6">
        <v>4</v>
      </c>
      <c r="H3" s="6">
        <v>1</v>
      </c>
      <c r="I3" s="6" t="s">
        <v>108</v>
      </c>
      <c r="J3" s="6">
        <v>14</v>
      </c>
    </row>
    <row r="4" ht="13.5" customHeight="1" spans="1:11" x14ac:dyDescent="0.25">
      <c r="A4" s="6" t="s">
        <v>110</v>
      </c>
      <c r="B4" s="6" t="s">
        <v>106</v>
      </c>
      <c r="C4" s="6" t="s">
        <v>107</v>
      </c>
      <c r="D4" s="6">
        <v>2</v>
      </c>
      <c r="E4" s="6">
        <v>5</v>
      </c>
      <c r="F4" s="6">
        <v>1</v>
      </c>
      <c r="G4" s="6">
        <v>8</v>
      </c>
      <c r="H4" s="6">
        <v>1</v>
      </c>
      <c r="I4" s="6" t="s">
        <v>108</v>
      </c>
      <c r="J4" s="6">
        <v>22</v>
      </c>
      <c r="K4" s="6">
        <v>10</v>
      </c>
    </row>
    <row r="5" ht="13.5" customHeight="1" spans="1:11" x14ac:dyDescent="0.25">
      <c r="A5" s="6" t="s">
        <v>111</v>
      </c>
      <c r="B5" s="6" t="s">
        <v>106</v>
      </c>
      <c r="C5" s="6" t="s">
        <v>107</v>
      </c>
      <c r="D5" s="6">
        <v>4</v>
      </c>
      <c r="E5" s="6">
        <v>8</v>
      </c>
      <c r="F5" s="6">
        <v>2</v>
      </c>
      <c r="G5" s="6">
        <v>12</v>
      </c>
      <c r="H5" s="6">
        <v>1</v>
      </c>
      <c r="I5" s="6" t="s">
        <v>108</v>
      </c>
      <c r="J5" s="6">
        <v>18</v>
      </c>
      <c r="K5" s="6">
        <v>14</v>
      </c>
    </row>
    <row r="6" ht="13.5" customHeight="1" spans="1:11" x14ac:dyDescent="0.25">
      <c r="A6" s="6" t="s">
        <v>112</v>
      </c>
      <c r="B6" s="6" t="s">
        <v>106</v>
      </c>
      <c r="C6" s="6" t="s">
        <v>107</v>
      </c>
      <c r="D6" s="6">
        <v>8</v>
      </c>
      <c r="E6" s="6">
        <v>10</v>
      </c>
      <c r="F6" s="6">
        <v>4</v>
      </c>
      <c r="G6" s="6">
        <v>16</v>
      </c>
      <c r="H6" s="6">
        <v>1</v>
      </c>
      <c r="I6" s="6" t="s">
        <v>108</v>
      </c>
      <c r="J6" s="6">
        <v>20</v>
      </c>
      <c r="K6" s="6">
        <v>24</v>
      </c>
    </row>
    <row r="7" ht="13.5" customHeight="1" spans="1:10" x14ac:dyDescent="0.25">
      <c r="A7" s="6" t="s">
        <v>113</v>
      </c>
      <c r="B7" s="6" t="s">
        <v>106</v>
      </c>
      <c r="C7" s="6" t="s">
        <v>107</v>
      </c>
      <c r="D7" s="6">
        <v>0</v>
      </c>
      <c r="E7" s="6">
        <v>0</v>
      </c>
      <c r="F7" s="6">
        <v>1</v>
      </c>
      <c r="G7" s="6">
        <v>2</v>
      </c>
      <c r="H7" s="6">
        <v>1</v>
      </c>
      <c r="I7" s="6" t="s">
        <v>114</v>
      </c>
      <c r="J7" s="6">
        <v>7</v>
      </c>
    </row>
    <row r="8" ht="13.5" customHeight="1" spans="1:11" x14ac:dyDescent="0.25">
      <c r="A8" s="6" t="s">
        <v>115</v>
      </c>
      <c r="B8" s="6" t="s">
        <v>106</v>
      </c>
      <c r="C8" s="6" t="s">
        <v>107</v>
      </c>
      <c r="D8" s="6">
        <v>2</v>
      </c>
      <c r="E8" s="6">
        <v>4</v>
      </c>
      <c r="F8" s="6">
        <v>2</v>
      </c>
      <c r="G8" s="6">
        <v>6</v>
      </c>
      <c r="H8" s="6">
        <v>1</v>
      </c>
      <c r="I8" s="6" t="s">
        <v>114</v>
      </c>
      <c r="J8" s="6">
        <v>15</v>
      </c>
      <c r="K8" s="6">
        <v>5</v>
      </c>
    </row>
    <row r="9" ht="15" customHeight="1" spans="1:12" x14ac:dyDescent="0.25">
      <c r="A9" s="6" t="s">
        <v>116</v>
      </c>
      <c r="B9" s="6" t="s">
        <v>106</v>
      </c>
      <c r="C9" s="6" t="s">
        <v>107</v>
      </c>
      <c r="D9" s="6">
        <v>3</v>
      </c>
      <c r="E9" s="6">
        <v>5</v>
      </c>
      <c r="F9" s="6">
        <v>4</v>
      </c>
      <c r="G9" s="6">
        <v>8</v>
      </c>
      <c r="H9" s="6">
        <v>1</v>
      </c>
      <c r="I9" s="6" t="s">
        <v>114</v>
      </c>
      <c r="J9" s="6">
        <v>17</v>
      </c>
      <c r="K9" s="6">
        <v>7</v>
      </c>
      <c r="L9" s="6">
        <v>7</v>
      </c>
    </row>
    <row r="10" ht="15" customHeight="1" spans="1:12" x14ac:dyDescent="0.25">
      <c r="A10" s="6" t="s">
        <v>117</v>
      </c>
      <c r="B10" s="6" t="s">
        <v>106</v>
      </c>
      <c r="C10" s="6" t="s">
        <v>107</v>
      </c>
      <c r="D10" s="6">
        <v>6</v>
      </c>
      <c r="E10" s="6">
        <v>8</v>
      </c>
      <c r="F10" s="6">
        <v>4</v>
      </c>
      <c r="G10" s="6">
        <v>12</v>
      </c>
      <c r="H10" s="6">
        <v>1</v>
      </c>
      <c r="I10" s="6" t="s">
        <v>114</v>
      </c>
      <c r="J10" s="6">
        <v>24</v>
      </c>
      <c r="K10" s="6">
        <v>17</v>
      </c>
      <c r="L10" s="6">
        <v>7</v>
      </c>
    </row>
    <row r="11" ht="15" customHeight="1" spans="1:12" x14ac:dyDescent="0.25">
      <c r="A11" s="6" t="s">
        <v>118</v>
      </c>
      <c r="B11" s="6" t="s">
        <v>106</v>
      </c>
      <c r="C11" s="6" t="s">
        <v>107</v>
      </c>
      <c r="D11" s="6">
        <v>8</v>
      </c>
      <c r="E11" s="6">
        <v>10</v>
      </c>
      <c r="F11" s="6">
        <v>6</v>
      </c>
      <c r="G11" s="6">
        <v>15</v>
      </c>
      <c r="H11" s="6">
        <v>2</v>
      </c>
      <c r="I11" s="6" t="s">
        <v>119</v>
      </c>
      <c r="J11" s="6">
        <v>25</v>
      </c>
      <c r="K11" s="6">
        <v>27</v>
      </c>
      <c r="L11" s="6">
        <v>15</v>
      </c>
    </row>
    <row r="12" ht="15" customHeight="1" spans="1:10" x14ac:dyDescent="0.25">
      <c r="A12" s="6" t="s">
        <v>120</v>
      </c>
      <c r="B12" s="6" t="s">
        <v>106</v>
      </c>
      <c r="C12" s="6" t="s">
        <v>107</v>
      </c>
      <c r="D12" s="6">
        <v>1</v>
      </c>
      <c r="E12" s="6">
        <v>3</v>
      </c>
      <c r="F12" s="6">
        <v>1</v>
      </c>
      <c r="G12" s="6">
        <v>4</v>
      </c>
      <c r="H12" s="6">
        <v>2</v>
      </c>
      <c r="I12" s="6" t="s">
        <v>119</v>
      </c>
      <c r="J12" s="6">
        <v>9</v>
      </c>
    </row>
    <row r="13" ht="15" customHeight="1" spans="1:12" x14ac:dyDescent="0.25">
      <c r="A13" s="6" t="s">
        <v>121</v>
      </c>
      <c r="B13" s="6" t="s">
        <v>106</v>
      </c>
      <c r="C13" s="6" t="s">
        <v>107</v>
      </c>
      <c r="D13" s="6">
        <v>3</v>
      </c>
      <c r="E13" s="6">
        <v>6</v>
      </c>
      <c r="F13" s="6">
        <v>1</v>
      </c>
      <c r="G13" s="6">
        <v>11</v>
      </c>
      <c r="H13" s="6">
        <v>1</v>
      </c>
      <c r="I13" s="6" t="s">
        <v>122</v>
      </c>
      <c r="J13" s="6">
        <v>13</v>
      </c>
      <c r="L13" s="6">
        <v>7</v>
      </c>
    </row>
    <row r="14" ht="15" customHeight="1" spans="1:12" x14ac:dyDescent="0.25">
      <c r="A14" s="6" t="s">
        <v>123</v>
      </c>
      <c r="B14" s="6" t="s">
        <v>106</v>
      </c>
      <c r="C14" s="6" t="s">
        <v>107</v>
      </c>
      <c r="D14" s="6">
        <v>6</v>
      </c>
      <c r="E14" s="6">
        <v>9</v>
      </c>
      <c r="F14" s="6">
        <v>4</v>
      </c>
      <c r="G14" s="6">
        <v>13</v>
      </c>
      <c r="H14" s="6">
        <v>1</v>
      </c>
      <c r="I14" s="6" t="s">
        <v>122</v>
      </c>
      <c r="J14" s="6">
        <v>25</v>
      </c>
      <c r="K14" s="6">
        <v>7</v>
      </c>
      <c r="L14" s="6">
        <v>14</v>
      </c>
    </row>
    <row r="15" ht="15" customHeight="1" spans="1:13" x14ac:dyDescent="0.25">
      <c r="A15" s="6" t="s">
        <v>124</v>
      </c>
      <c r="B15" s="6" t="s">
        <v>106</v>
      </c>
      <c r="C15" s="6" t="s">
        <v>107</v>
      </c>
      <c r="D15" s="6">
        <v>5</v>
      </c>
      <c r="E15" s="6">
        <v>10</v>
      </c>
      <c r="F15" s="6">
        <v>2</v>
      </c>
      <c r="G15" s="6">
        <v>12</v>
      </c>
      <c r="H15" s="6">
        <v>2</v>
      </c>
      <c r="I15" s="6" t="s">
        <v>125</v>
      </c>
      <c r="J15" s="6">
        <v>20</v>
      </c>
      <c r="K15" s="6">
        <v>18</v>
      </c>
      <c r="L15" s="6">
        <v>7</v>
      </c>
      <c r="M15" s="6">
        <v>3</v>
      </c>
    </row>
    <row r="16" ht="15" customHeight="1" spans="1:13" x14ac:dyDescent="0.25">
      <c r="A16" s="6" t="s">
        <v>126</v>
      </c>
      <c r="B16" s="6" t="s">
        <v>106</v>
      </c>
      <c r="C16" s="6" t="s">
        <v>107</v>
      </c>
      <c r="D16" s="6">
        <v>5</v>
      </c>
      <c r="E16" s="6">
        <v>8</v>
      </c>
      <c r="F16" s="6">
        <v>6</v>
      </c>
      <c r="G16" s="6">
        <v>10</v>
      </c>
      <c r="H16" s="6">
        <v>1</v>
      </c>
      <c r="I16" s="6" t="s">
        <v>127</v>
      </c>
      <c r="J16" s="6">
        <v>12</v>
      </c>
      <c r="K16" s="6">
        <v>13</v>
      </c>
      <c r="M16" s="6">
        <v>5</v>
      </c>
    </row>
    <row r="17" ht="15" customHeight="1" spans="1:13" x14ac:dyDescent="0.25">
      <c r="A17" s="6" t="s">
        <v>128</v>
      </c>
      <c r="B17" s="6" t="s">
        <v>106</v>
      </c>
      <c r="C17" s="6" t="s">
        <v>107</v>
      </c>
      <c r="D17" s="6">
        <v>2</v>
      </c>
      <c r="E17" s="6">
        <v>4</v>
      </c>
      <c r="F17" s="6">
        <v>2</v>
      </c>
      <c r="G17" s="6">
        <v>6</v>
      </c>
      <c r="H17" s="6">
        <v>1</v>
      </c>
      <c r="I17" s="6" t="s">
        <v>129</v>
      </c>
      <c r="J17" s="6">
        <v>9</v>
      </c>
      <c r="K17" s="6">
        <v>8</v>
      </c>
      <c r="M17" s="6">
        <v>2</v>
      </c>
    </row>
    <row r="18" ht="15" customHeight="1" spans="1:13" x14ac:dyDescent="0.25">
      <c r="A18" s="6" t="s">
        <v>130</v>
      </c>
      <c r="B18" s="6" t="s">
        <v>106</v>
      </c>
      <c r="C18" s="6" t="s">
        <v>107</v>
      </c>
      <c r="D18" s="6">
        <v>2</v>
      </c>
      <c r="E18" s="6">
        <v>4</v>
      </c>
      <c r="F18" s="6">
        <v>1</v>
      </c>
      <c r="G18" s="6">
        <v>8</v>
      </c>
      <c r="H18" s="6">
        <v>1</v>
      </c>
      <c r="I18" s="6" t="s">
        <v>131</v>
      </c>
      <c r="J18" s="6">
        <v>10</v>
      </c>
      <c r="M18" s="6">
        <v>2</v>
      </c>
    </row>
    <row r="19" ht="15" customHeight="1" spans="1:13" x14ac:dyDescent="0.25">
      <c r="A19" s="6" t="s">
        <v>132</v>
      </c>
      <c r="B19" s="6" t="s">
        <v>106</v>
      </c>
      <c r="C19" s="6" t="s">
        <v>107</v>
      </c>
      <c r="D19" s="6">
        <v>3</v>
      </c>
      <c r="E19" s="6">
        <v>6</v>
      </c>
      <c r="F19" s="6">
        <v>2</v>
      </c>
      <c r="G19" s="6">
        <v>10</v>
      </c>
      <c r="H19" s="6">
        <v>1</v>
      </c>
      <c r="I19" s="6" t="s">
        <v>131</v>
      </c>
      <c r="J19" s="6">
        <v>14</v>
      </c>
      <c r="M19" s="6">
        <v>10</v>
      </c>
    </row>
    <row r="20" ht="15" customHeight="1" spans="1:13" x14ac:dyDescent="0.25">
      <c r="A20" s="6" t="s">
        <v>133</v>
      </c>
      <c r="B20" s="6" t="s">
        <v>106</v>
      </c>
      <c r="C20" s="6" t="s">
        <v>107</v>
      </c>
      <c r="D20" s="6">
        <v>5</v>
      </c>
      <c r="E20" s="6">
        <v>7</v>
      </c>
      <c r="F20" s="6">
        <v>3</v>
      </c>
      <c r="G20" s="6">
        <v>13</v>
      </c>
      <c r="H20" s="6">
        <v>1</v>
      </c>
      <c r="I20" s="6" t="s">
        <v>131</v>
      </c>
      <c r="J20" s="6">
        <v>18</v>
      </c>
      <c r="M20" s="6">
        <v>15</v>
      </c>
    </row>
    <row r="21" ht="15" customHeight="1" spans="1:13" x14ac:dyDescent="0.25">
      <c r="A21" s="6" t="s">
        <v>134</v>
      </c>
      <c r="B21" s="6" t="s">
        <v>106</v>
      </c>
      <c r="C21" s="6" t="s">
        <v>107</v>
      </c>
      <c r="D21" s="6">
        <v>8</v>
      </c>
      <c r="E21" s="6">
        <v>10</v>
      </c>
      <c r="F21" s="6">
        <v>6</v>
      </c>
      <c r="G21" s="6">
        <v>16</v>
      </c>
      <c r="H21" s="6">
        <v>1</v>
      </c>
      <c r="I21" s="6" t="s">
        <v>131</v>
      </c>
      <c r="J21" s="6">
        <v>24</v>
      </c>
      <c r="M21" s="6">
        <v>20</v>
      </c>
    </row>
    <row r="22" ht="15" customHeight="1" spans="1:10" x14ac:dyDescent="0.25">
      <c r="A22" s="6" t="s">
        <v>135</v>
      </c>
      <c r="B22" s="6" t="s">
        <v>136</v>
      </c>
      <c r="C22" s="6" t="s">
        <v>137</v>
      </c>
      <c r="D22" s="6">
        <v>0</v>
      </c>
      <c r="E22" s="6">
        <v>0</v>
      </c>
      <c r="F22" s="6">
        <v>1</v>
      </c>
      <c r="G22" s="6">
        <v>7</v>
      </c>
      <c r="H22" s="6">
        <v>1</v>
      </c>
      <c r="I22" s="6" t="s">
        <v>108</v>
      </c>
      <c r="J22" s="6">
        <v>6</v>
      </c>
    </row>
    <row r="23" ht="15" customHeight="1" spans="1:10" x14ac:dyDescent="0.25">
      <c r="A23" s="6" t="s">
        <v>138</v>
      </c>
      <c r="B23" s="6" t="s">
        <v>136</v>
      </c>
      <c r="C23" s="6" t="s">
        <v>137</v>
      </c>
      <c r="D23" s="6">
        <v>1</v>
      </c>
      <c r="E23" s="6">
        <v>3</v>
      </c>
      <c r="F23" s="6">
        <v>2</v>
      </c>
      <c r="G23" s="6">
        <v>8</v>
      </c>
      <c r="H23" s="6">
        <v>1</v>
      </c>
      <c r="I23" s="6" t="s">
        <v>108</v>
      </c>
      <c r="J23" s="6">
        <v>8</v>
      </c>
    </row>
    <row r="24" ht="15" customHeight="1" spans="1:12" x14ac:dyDescent="0.25">
      <c r="A24" s="6" t="s">
        <v>139</v>
      </c>
      <c r="B24" s="6" t="s">
        <v>136</v>
      </c>
      <c r="C24" s="6" t="s">
        <v>137</v>
      </c>
      <c r="D24" s="6">
        <v>2</v>
      </c>
      <c r="E24" s="6">
        <v>5</v>
      </c>
      <c r="F24" s="6">
        <v>3</v>
      </c>
      <c r="G24" s="6">
        <v>9</v>
      </c>
      <c r="H24" s="6">
        <v>1</v>
      </c>
      <c r="I24" s="6" t="s">
        <v>122</v>
      </c>
      <c r="J24" s="6">
        <v>11</v>
      </c>
      <c r="K24" s="6">
        <v>2</v>
      </c>
      <c r="L24" s="6">
        <v>5</v>
      </c>
    </row>
    <row r="25" ht="15" customHeight="1" spans="1:11" x14ac:dyDescent="0.25">
      <c r="A25" s="6" t="s">
        <v>140</v>
      </c>
      <c r="B25" s="6" t="s">
        <v>136</v>
      </c>
      <c r="C25" s="6" t="s">
        <v>137</v>
      </c>
      <c r="D25" s="6">
        <v>2</v>
      </c>
      <c r="E25" s="6">
        <v>5</v>
      </c>
      <c r="F25" s="6">
        <v>1</v>
      </c>
      <c r="G25" s="6">
        <v>11</v>
      </c>
      <c r="H25" s="6">
        <v>1</v>
      </c>
      <c r="I25" s="6" t="s">
        <v>114</v>
      </c>
      <c r="J25" s="6">
        <v>15</v>
      </c>
      <c r="K25" s="6">
        <v>9</v>
      </c>
    </row>
    <row r="26" ht="15" customHeight="1" spans="1:12" x14ac:dyDescent="0.25">
      <c r="A26" s="6" t="s">
        <v>141</v>
      </c>
      <c r="B26" s="6" t="s">
        <v>136</v>
      </c>
      <c r="C26" s="6" t="s">
        <v>137</v>
      </c>
      <c r="D26" s="6">
        <v>3</v>
      </c>
      <c r="E26" s="6">
        <v>6</v>
      </c>
      <c r="F26" s="6">
        <v>6</v>
      </c>
      <c r="G26" s="6">
        <v>12</v>
      </c>
      <c r="H26" s="6">
        <v>2</v>
      </c>
      <c r="I26" s="6" t="s">
        <v>142</v>
      </c>
      <c r="J26" s="6">
        <v>16</v>
      </c>
      <c r="K26" s="6">
        <v>11</v>
      </c>
      <c r="L26" s="6">
        <v>5</v>
      </c>
    </row>
    <row r="27" ht="15" customHeight="1" spans="1:11" x14ac:dyDescent="0.25">
      <c r="A27" s="6" t="s">
        <v>143</v>
      </c>
      <c r="B27" s="6" t="s">
        <v>136</v>
      </c>
      <c r="C27" s="6" t="s">
        <v>137</v>
      </c>
      <c r="D27" s="6">
        <v>5</v>
      </c>
      <c r="E27" s="6">
        <v>7</v>
      </c>
      <c r="F27" s="6">
        <v>9</v>
      </c>
      <c r="G27" s="6">
        <v>14</v>
      </c>
      <c r="H27" s="6">
        <v>1</v>
      </c>
      <c r="I27" s="6" t="s">
        <v>108</v>
      </c>
      <c r="J27" s="6">
        <v>18</v>
      </c>
      <c r="K27" s="6">
        <v>16</v>
      </c>
    </row>
    <row r="28" ht="15" customHeight="1" spans="1:12" x14ac:dyDescent="0.25">
      <c r="A28" s="6" t="s">
        <v>144</v>
      </c>
      <c r="B28" s="6" t="s">
        <v>136</v>
      </c>
      <c r="C28" s="6" t="s">
        <v>137</v>
      </c>
      <c r="D28" s="6">
        <v>5</v>
      </c>
      <c r="E28" s="6">
        <v>7</v>
      </c>
      <c r="F28" s="6">
        <v>6</v>
      </c>
      <c r="G28" s="6">
        <v>15</v>
      </c>
      <c r="H28" s="6">
        <v>1</v>
      </c>
      <c r="I28" s="6" t="s">
        <v>114</v>
      </c>
      <c r="J28" s="6">
        <v>21</v>
      </c>
      <c r="K28" s="6">
        <v>13</v>
      </c>
      <c r="L28" s="6">
        <v>7</v>
      </c>
    </row>
    <row r="29" ht="15" customHeight="1" spans="1:12" x14ac:dyDescent="0.25">
      <c r="A29" s="6" t="s">
        <v>145</v>
      </c>
      <c r="B29" s="6" t="s">
        <v>136</v>
      </c>
      <c r="C29" s="6" t="s">
        <v>137</v>
      </c>
      <c r="D29" s="6">
        <v>6</v>
      </c>
      <c r="E29" s="6">
        <v>8</v>
      </c>
      <c r="F29" s="6">
        <v>8</v>
      </c>
      <c r="G29" s="6">
        <v>17</v>
      </c>
      <c r="H29" s="6">
        <v>2</v>
      </c>
      <c r="I29" s="6" t="s">
        <v>119</v>
      </c>
      <c r="J29" s="6">
        <v>19</v>
      </c>
      <c r="K29" s="6">
        <v>9</v>
      </c>
      <c r="L29" s="6">
        <v>15</v>
      </c>
    </row>
    <row r="30" ht="15" customHeight="1" spans="1:13" x14ac:dyDescent="0.25">
      <c r="A30" s="6" t="s">
        <v>146</v>
      </c>
      <c r="B30" s="6" t="s">
        <v>136</v>
      </c>
      <c r="C30" s="6" t="s">
        <v>137</v>
      </c>
      <c r="D30" s="6">
        <v>7</v>
      </c>
      <c r="E30" s="6">
        <v>9</v>
      </c>
      <c r="F30" s="6">
        <v>10</v>
      </c>
      <c r="G30" s="6">
        <v>18</v>
      </c>
      <c r="H30" s="6">
        <v>2</v>
      </c>
      <c r="I30" s="6" t="s">
        <v>147</v>
      </c>
      <c r="J30" s="6">
        <v>18</v>
      </c>
      <c r="K30" s="6">
        <v>7</v>
      </c>
      <c r="M30" s="6">
        <v>7</v>
      </c>
    </row>
    <row r="31" ht="15" customHeight="1" spans="1:13" x14ac:dyDescent="0.25">
      <c r="A31" s="6" t="s">
        <v>148</v>
      </c>
      <c r="B31" s="6" t="s">
        <v>136</v>
      </c>
      <c r="C31" s="6" t="s">
        <v>137</v>
      </c>
      <c r="D31" s="6">
        <v>8</v>
      </c>
      <c r="E31" s="6">
        <v>10</v>
      </c>
      <c r="F31" s="6">
        <v>14</v>
      </c>
      <c r="G31" s="6">
        <v>26</v>
      </c>
      <c r="H31" s="6">
        <v>2</v>
      </c>
      <c r="I31" s="6" t="s">
        <v>149</v>
      </c>
      <c r="J31" s="6">
        <v>23</v>
      </c>
      <c r="K31" s="6">
        <v>7</v>
      </c>
      <c r="M31" s="6">
        <v>7</v>
      </c>
    </row>
    <row r="32" ht="15" customHeight="1" spans="1:12" x14ac:dyDescent="0.25">
      <c r="A32" s="6" t="s">
        <v>150</v>
      </c>
      <c r="B32" s="6" t="s">
        <v>136</v>
      </c>
      <c r="C32" s="6" t="s">
        <v>137</v>
      </c>
      <c r="D32" s="6">
        <v>9</v>
      </c>
      <c r="E32" s="6">
        <v>10</v>
      </c>
      <c r="F32" s="6">
        <v>15</v>
      </c>
      <c r="G32" s="6">
        <v>35</v>
      </c>
      <c r="H32" s="6">
        <v>1</v>
      </c>
      <c r="I32" s="6" t="s">
        <v>114</v>
      </c>
      <c r="J32" s="6">
        <v>28</v>
      </c>
      <c r="K32" s="6">
        <v>23</v>
      </c>
      <c r="L32" s="6">
        <v>11</v>
      </c>
    </row>
    <row r="33" ht="15" customHeight="1" spans="1:11" x14ac:dyDescent="0.25">
      <c r="A33" s="6" t="s">
        <v>151</v>
      </c>
      <c r="B33" s="6" t="s">
        <v>136</v>
      </c>
      <c r="C33" s="6" t="s">
        <v>137</v>
      </c>
      <c r="D33" s="6">
        <v>9</v>
      </c>
      <c r="E33" s="6">
        <v>10</v>
      </c>
      <c r="F33" s="6">
        <v>20</v>
      </c>
      <c r="G33" s="6">
        <v>30</v>
      </c>
      <c r="H33" s="6">
        <v>1</v>
      </c>
      <c r="I33" s="6" t="s">
        <v>108</v>
      </c>
      <c r="J33" s="6">
        <v>40</v>
      </c>
      <c r="K33" s="6">
        <v>30</v>
      </c>
    </row>
    <row r="34" ht="15" customHeight="1" spans="1:13" x14ac:dyDescent="0.25">
      <c r="A34" s="6" t="s">
        <v>152</v>
      </c>
      <c r="B34" s="6" t="s">
        <v>136</v>
      </c>
      <c r="C34" s="6" t="s">
        <v>153</v>
      </c>
      <c r="D34" s="6">
        <v>3</v>
      </c>
      <c r="E34" s="6">
        <v>6</v>
      </c>
      <c r="F34" s="6">
        <v>4</v>
      </c>
      <c r="G34" s="6">
        <v>12</v>
      </c>
      <c r="H34" s="6">
        <v>1</v>
      </c>
      <c r="I34" s="6" t="s">
        <v>108</v>
      </c>
      <c r="J34" s="6">
        <v>16</v>
      </c>
      <c r="M34" s="6">
        <v>10</v>
      </c>
    </row>
    <row r="35" ht="15" customHeight="1" spans="1:13" x14ac:dyDescent="0.25">
      <c r="A35" s="6" t="s">
        <v>154</v>
      </c>
      <c r="B35" s="6" t="s">
        <v>136</v>
      </c>
      <c r="C35" s="6" t="s">
        <v>153</v>
      </c>
      <c r="D35" s="6">
        <v>5</v>
      </c>
      <c r="E35" s="6">
        <v>8</v>
      </c>
      <c r="F35" s="6">
        <v>8</v>
      </c>
      <c r="G35" s="6">
        <v>22</v>
      </c>
      <c r="H35" s="6">
        <v>1</v>
      </c>
      <c r="I35" s="6" t="s">
        <v>108</v>
      </c>
      <c r="J35" s="6">
        <v>19</v>
      </c>
      <c r="M35" s="6">
        <v>15</v>
      </c>
    </row>
    <row r="36" ht="15" customHeight="1" spans="1:13" x14ac:dyDescent="0.25">
      <c r="A36" s="6" t="s">
        <v>155</v>
      </c>
      <c r="B36" s="6" t="s">
        <v>136</v>
      </c>
      <c r="C36" s="6" t="s">
        <v>153</v>
      </c>
      <c r="D36" s="6">
        <v>8</v>
      </c>
      <c r="E36" s="6">
        <v>10</v>
      </c>
      <c r="F36" s="6">
        <v>10</v>
      </c>
      <c r="G36" s="6">
        <v>32</v>
      </c>
      <c r="H36" s="6">
        <v>1</v>
      </c>
      <c r="I36" s="6" t="s">
        <v>108</v>
      </c>
      <c r="J36" s="6">
        <v>24</v>
      </c>
      <c r="M36" s="6">
        <v>25</v>
      </c>
    </row>
    <row r="37" ht="15" customHeight="1" spans="1:12" x14ac:dyDescent="0.25">
      <c r="A37" s="6" t="s">
        <v>156</v>
      </c>
      <c r="B37" s="6" t="s">
        <v>157</v>
      </c>
      <c r="C37" s="6" t="s">
        <v>158</v>
      </c>
      <c r="D37" s="6">
        <v>1</v>
      </c>
      <c r="E37" s="6">
        <v>3</v>
      </c>
      <c r="F37" s="6">
        <v>2</v>
      </c>
      <c r="G37" s="6">
        <v>7</v>
      </c>
      <c r="H37" s="6">
        <v>1</v>
      </c>
      <c r="I37" s="6" t="s">
        <v>122</v>
      </c>
      <c r="J37" s="6">
        <v>15</v>
      </c>
      <c r="L37" s="6">
        <v>2</v>
      </c>
    </row>
    <row r="38" ht="15" customHeight="1" spans="1:12" x14ac:dyDescent="0.25">
      <c r="A38" s="6" t="s">
        <v>159</v>
      </c>
      <c r="B38" s="6" t="s">
        <v>157</v>
      </c>
      <c r="C38" s="6" t="s">
        <v>158</v>
      </c>
      <c r="D38" s="6">
        <v>3</v>
      </c>
      <c r="E38" s="6">
        <v>5</v>
      </c>
      <c r="F38" s="6">
        <v>5</v>
      </c>
      <c r="G38" s="6">
        <v>10</v>
      </c>
      <c r="H38" s="6">
        <v>1</v>
      </c>
      <c r="I38" s="6" t="s">
        <v>122</v>
      </c>
      <c r="J38" s="6">
        <v>16</v>
      </c>
      <c r="K38" s="6">
        <v>3</v>
      </c>
      <c r="L38" s="6">
        <v>7</v>
      </c>
    </row>
    <row r="39" ht="15" customHeight="1" spans="1:12" x14ac:dyDescent="0.25">
      <c r="A39" s="6" t="s">
        <v>160</v>
      </c>
      <c r="B39" s="6" t="s">
        <v>157</v>
      </c>
      <c r="C39" s="6" t="s">
        <v>158</v>
      </c>
      <c r="D39" s="6">
        <v>5</v>
      </c>
      <c r="E39" s="6">
        <v>8</v>
      </c>
      <c r="F39" s="6">
        <v>8</v>
      </c>
      <c r="G39" s="6">
        <v>16</v>
      </c>
      <c r="H39" s="6">
        <v>1</v>
      </c>
      <c r="I39" s="6" t="s">
        <v>122</v>
      </c>
      <c r="J39" s="6">
        <v>26</v>
      </c>
      <c r="K39" s="6">
        <v>7</v>
      </c>
      <c r="L39" s="6">
        <v>13</v>
      </c>
    </row>
    <row r="40" ht="15" customHeight="1" spans="1:12" x14ac:dyDescent="0.25">
      <c r="A40" s="6" t="s">
        <v>161</v>
      </c>
      <c r="B40" s="6" t="s">
        <v>157</v>
      </c>
      <c r="C40" s="6" t="s">
        <v>158</v>
      </c>
      <c r="D40" s="6">
        <v>8</v>
      </c>
      <c r="E40" s="6">
        <v>10</v>
      </c>
      <c r="F40" s="6">
        <v>12</v>
      </c>
      <c r="G40" s="6">
        <v>26</v>
      </c>
      <c r="H40" s="6">
        <v>1</v>
      </c>
      <c r="I40" s="6" t="s">
        <v>122</v>
      </c>
      <c r="J40" s="6">
        <v>25</v>
      </c>
      <c r="K40" s="6">
        <v>13</v>
      </c>
      <c r="L40" s="6">
        <v>25</v>
      </c>
    </row>
    <row r="41" ht="15" customHeight="1" spans="1:13" x14ac:dyDescent="0.25">
      <c r="A41" s="6" t="s">
        <v>162</v>
      </c>
      <c r="B41" s="6" t="s">
        <v>157</v>
      </c>
      <c r="C41" s="6" t="s">
        <v>158</v>
      </c>
      <c r="D41" s="6">
        <v>7</v>
      </c>
      <c r="E41" s="6">
        <v>10</v>
      </c>
      <c r="F41" s="6">
        <v>10</v>
      </c>
      <c r="G41" s="6">
        <v>22</v>
      </c>
      <c r="H41" s="6">
        <v>1</v>
      </c>
      <c r="I41" s="6" t="s">
        <v>163</v>
      </c>
      <c r="J41" s="6">
        <v>11</v>
      </c>
      <c r="L41" s="6">
        <v>7</v>
      </c>
      <c r="M41" s="6">
        <v>13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 zoomScale="150" zoomScaleNormal="150" view="normal">
      <pane ySplit="1" topLeftCell="A2" activePane="bottomLeft" state="frozen"/>
      <selection pane="bottomLeft" activeCell="E5" sqref="E5"/>
    </sheetView>
  </sheetViews>
  <sheetFormatPr defaultRowHeight="15" outlineLevelRow="0" outlineLevelCol="0" x14ac:dyDescent="0" defaultColWidth="8.43359375"/>
  <cols>
    <col min="1" max="1" width="13.2" style="6" customWidth="1"/>
    <col min="2" max="2" width="11.05" style="6" customWidth="1"/>
    <col min="3" max="3" width="7.45" style="6" customWidth="1"/>
    <col min="4" max="4" width="7.74" style="6" customWidth="1"/>
    <col min="5" max="5" width="7" style="6" customWidth="1"/>
    <col min="6" max="6" width="7.29" style="6" customWidth="1"/>
    <col min="7" max="7" width="9.99" style="6" customWidth="1"/>
    <col min="8" max="8" width="9.54" style="6" customWidth="1"/>
    <col min="9" max="9" width="6.77" style="6" customWidth="1"/>
    <col min="10" max="10" width="7.62" style="6" customWidth="1"/>
    <col min="11" max="11" width="7.17" style="6" customWidth="1"/>
    <col min="12" max="12" width="6.77" style="6" customWidth="1"/>
    <col min="13" max="13" width="7.11" style="6" customWidth="1"/>
  </cols>
  <sheetData>
    <row r="1" ht="15" customHeight="1" spans="1:13" s="8" customFormat="1" x14ac:dyDescent="0.25">
      <c r="A1" s="8" t="s">
        <v>44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164</v>
      </c>
      <c r="H1" s="8" t="s">
        <v>52</v>
      </c>
      <c r="I1" s="8" t="s">
        <v>53</v>
      </c>
      <c r="J1" s="8" t="s">
        <v>54</v>
      </c>
      <c r="K1" s="8" t="s">
        <v>55</v>
      </c>
      <c r="L1" s="8" t="s">
        <v>56</v>
      </c>
      <c r="M1" s="8" t="s">
        <v>57</v>
      </c>
    </row>
    <row r="2" ht="13.5" customHeight="1" spans="1:8" x14ac:dyDescent="0.25">
      <c r="A2" s="6" t="s">
        <v>165</v>
      </c>
      <c r="B2" s="6" t="s">
        <v>166</v>
      </c>
      <c r="C2" s="6">
        <v>0</v>
      </c>
      <c r="D2" s="6">
        <v>0</v>
      </c>
      <c r="E2" s="6">
        <v>2</v>
      </c>
      <c r="F2" s="6">
        <v>2</v>
      </c>
      <c r="G2" s="6" t="s">
        <v>167</v>
      </c>
      <c r="H2" s="6">
        <v>8</v>
      </c>
    </row>
    <row r="3" ht="13.5" customHeight="1" spans="1:8" x14ac:dyDescent="0.25">
      <c r="A3" s="6" t="s">
        <v>168</v>
      </c>
      <c r="B3" s="6" t="s">
        <v>166</v>
      </c>
      <c r="C3" s="6">
        <v>1</v>
      </c>
      <c r="D3" s="6">
        <v>3</v>
      </c>
      <c r="E3" s="6">
        <v>3</v>
      </c>
      <c r="F3" s="6">
        <v>5</v>
      </c>
      <c r="G3" s="6" t="s">
        <v>167</v>
      </c>
      <c r="H3" s="6">
        <v>16</v>
      </c>
    </row>
    <row r="4" ht="13.5" customHeight="1" spans="1:8" x14ac:dyDescent="0.25">
      <c r="A4" s="6" t="s">
        <v>169</v>
      </c>
      <c r="B4" s="6" t="s">
        <v>166</v>
      </c>
      <c r="C4" s="6">
        <v>2</v>
      </c>
      <c r="D4" s="6">
        <v>4</v>
      </c>
      <c r="E4" s="6">
        <v>10</v>
      </c>
      <c r="F4" s="6">
        <v>14</v>
      </c>
      <c r="G4" s="6" t="s">
        <v>170</v>
      </c>
      <c r="H4" s="6">
        <v>22</v>
      </c>
    </row>
    <row r="5" ht="13.5" customHeight="1" spans="1:8" x14ac:dyDescent="0.25">
      <c r="A5" s="6" t="s">
        <v>171</v>
      </c>
      <c r="B5" s="6" t="s">
        <v>166</v>
      </c>
      <c r="C5" s="6">
        <v>3</v>
      </c>
      <c r="D5" s="6">
        <v>5</v>
      </c>
      <c r="E5" s="6">
        <v>9</v>
      </c>
      <c r="F5" s="6">
        <v>13</v>
      </c>
      <c r="G5" s="6" t="s">
        <v>167</v>
      </c>
      <c r="H5" s="6">
        <v>18</v>
      </c>
    </row>
    <row r="6" ht="13.5" customHeight="1" spans="1:8" x14ac:dyDescent="0.25">
      <c r="A6" s="6" t="s">
        <v>172</v>
      </c>
      <c r="B6" s="6" t="s">
        <v>166</v>
      </c>
      <c r="C6" s="6">
        <v>4</v>
      </c>
      <c r="D6" s="6">
        <v>6</v>
      </c>
      <c r="E6" s="6">
        <v>16</v>
      </c>
      <c r="F6" s="6">
        <v>19</v>
      </c>
      <c r="G6" s="6" t="s">
        <v>173</v>
      </c>
      <c r="H6" s="6">
        <v>20</v>
      </c>
    </row>
    <row r="7" ht="13.5" customHeight="1" spans="1:8" x14ac:dyDescent="0.25">
      <c r="A7" s="6" t="s">
        <v>174</v>
      </c>
      <c r="B7" s="6" t="s">
        <v>166</v>
      </c>
      <c r="C7" s="6">
        <v>5</v>
      </c>
      <c r="D7" s="6">
        <v>7</v>
      </c>
      <c r="E7" s="6">
        <v>15</v>
      </c>
      <c r="F7" s="6">
        <v>18</v>
      </c>
      <c r="G7" s="6" t="s">
        <v>170</v>
      </c>
      <c r="H7" s="6">
        <v>18</v>
      </c>
    </row>
    <row r="8" ht="13.5" customHeight="1" spans="1:8" x14ac:dyDescent="0.25">
      <c r="A8" s="6" t="s">
        <v>175</v>
      </c>
      <c r="B8" s="6" t="s">
        <v>166</v>
      </c>
      <c r="C8" s="6">
        <v>5</v>
      </c>
      <c r="D8" s="6">
        <v>6</v>
      </c>
      <c r="E8" s="6">
        <v>13</v>
      </c>
      <c r="F8" s="6">
        <v>15</v>
      </c>
      <c r="G8" s="6" t="s">
        <v>167</v>
      </c>
      <c r="H8" s="6">
        <v>15</v>
      </c>
    </row>
    <row r="9" ht="13.5" customHeight="1" spans="1:8" x14ac:dyDescent="0.25">
      <c r="A9" s="6" t="s">
        <v>176</v>
      </c>
      <c r="B9" s="6" t="s">
        <v>166</v>
      </c>
      <c r="C9" s="6">
        <v>6</v>
      </c>
      <c r="D9" s="6">
        <v>8</v>
      </c>
      <c r="E9" s="6">
        <v>19</v>
      </c>
      <c r="F9" s="6">
        <v>23</v>
      </c>
      <c r="G9" s="6" t="s">
        <v>170</v>
      </c>
      <c r="H9" s="6">
        <v>24</v>
      </c>
    </row>
    <row r="10" ht="13.5" customHeight="1" spans="1:8" x14ac:dyDescent="0.25">
      <c r="A10" s="6" t="s">
        <v>177</v>
      </c>
      <c r="B10" s="6" t="s">
        <v>166</v>
      </c>
      <c r="C10" s="6">
        <v>7</v>
      </c>
      <c r="D10" s="6">
        <v>10</v>
      </c>
      <c r="E10" s="6">
        <v>21</v>
      </c>
      <c r="F10" s="6">
        <v>28</v>
      </c>
      <c r="G10" s="6" t="s">
        <v>173</v>
      </c>
      <c r="H10" s="6">
        <v>25</v>
      </c>
    </row>
    <row r="11" ht="13.5" customHeight="1" spans="1:8" x14ac:dyDescent="0.25">
      <c r="A11" s="6" t="s">
        <v>178</v>
      </c>
      <c r="B11" s="6" t="s">
        <v>166</v>
      </c>
      <c r="C11" s="6">
        <v>8</v>
      </c>
      <c r="D11" s="6">
        <v>10</v>
      </c>
      <c r="E11" s="6">
        <v>21</v>
      </c>
      <c r="F11" s="6">
        <v>24</v>
      </c>
      <c r="G11" s="6" t="s">
        <v>167</v>
      </c>
      <c r="H11" s="6">
        <v>28</v>
      </c>
    </row>
    <row r="12" ht="13.5" customHeight="1" spans="1:8" x14ac:dyDescent="0.25">
      <c r="A12" s="6" t="s">
        <v>179</v>
      </c>
      <c r="B12" s="6" t="s">
        <v>166</v>
      </c>
      <c r="C12" s="6">
        <v>8</v>
      </c>
      <c r="D12" s="6">
        <v>10</v>
      </c>
      <c r="E12" s="6">
        <v>25</v>
      </c>
      <c r="F12" s="6">
        <v>28</v>
      </c>
      <c r="G12" s="6" t="s">
        <v>170</v>
      </c>
      <c r="H12" s="6">
        <v>28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 zoomScale="150" zoomScaleNormal="15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43359375"/>
  <cols>
    <col min="1" max="1" width="10" style="6" customWidth="1"/>
    <col min="2" max="2" width="15" style="6" customWidth="1"/>
    <col min="3" max="3" width="14" style="6" customWidth="1"/>
    <col min="4" max="11" width="10" style="6" customWidth="1"/>
  </cols>
  <sheetData>
    <row r="1" ht="15" customHeight="1" spans="1:11" s="8" customFormat="1" x14ac:dyDescent="0.25">
      <c r="A1" s="8" t="s">
        <v>44</v>
      </c>
      <c r="B1" s="8" t="s">
        <v>45</v>
      </c>
      <c r="C1" s="8" t="s">
        <v>46</v>
      </c>
      <c r="D1" s="8" t="s">
        <v>47</v>
      </c>
      <c r="E1" s="8" t="s">
        <v>48</v>
      </c>
      <c r="F1" s="8" t="s">
        <v>52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57</v>
      </c>
    </row>
    <row r="2" ht="15" customHeight="1" spans="1:5" x14ac:dyDescent="0.25">
      <c r="A2" s="6" t="s">
        <v>180</v>
      </c>
      <c r="B2" s="6" t="s">
        <v>180</v>
      </c>
      <c r="C2" s="6" t="s">
        <v>181</v>
      </c>
      <c r="D2" s="6">
        <v>3</v>
      </c>
      <c r="E2" s="6">
        <v>10</v>
      </c>
    </row>
    <row r="3" ht="15" customHeight="1" spans="1:5" x14ac:dyDescent="0.25">
      <c r="A3" s="6" t="s">
        <v>182</v>
      </c>
      <c r="B3" s="6" t="s">
        <v>182</v>
      </c>
      <c r="C3" s="6" t="s">
        <v>181</v>
      </c>
      <c r="D3" s="6">
        <v>3</v>
      </c>
      <c r="E3" s="6">
        <v>10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 zoomScale="150" zoomScaleNormal="15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43359375"/>
  <cols>
    <col min="1" max="1" width="14" style="6" customWidth="1"/>
    <col min="2" max="2" width="11" style="6" customWidth="1"/>
    <col min="3" max="3" width="23" style="6" customWidth="1"/>
    <col min="4" max="4" width="17" style="6" customWidth="1"/>
    <col min="5" max="5" width="22" style="6" customWidth="1"/>
    <col min="6" max="6" width="18" style="6" customWidth="1"/>
    <col min="7" max="7" width="16" style="6" customWidth="1"/>
    <col min="8" max="8" width="25" style="6" customWidth="1"/>
    <col min="9" max="9" width="16" style="6" customWidth="1"/>
    <col min="10" max="10" width="17" style="6" customWidth="1"/>
    <col min="11" max="11" width="15" style="6" customWidth="1"/>
    <col min="12" max="12" width="18" style="6" customWidth="1"/>
    <col min="13" max="13" width="17" style="6" customWidth="1"/>
    <col min="14" max="14" width="11" style="6" customWidth="1"/>
    <col min="15" max="16" width="19" style="6" customWidth="1"/>
    <col min="17" max="17" width="26" style="6" customWidth="1"/>
  </cols>
  <sheetData>
    <row r="1" ht="15" customHeight="1" spans="1:17" s="8" customFormat="1" x14ac:dyDescent="0.25">
      <c r="A1" s="8" t="s">
        <v>46</v>
      </c>
      <c r="B1" s="8" t="s">
        <v>183</v>
      </c>
      <c r="C1" s="8" t="s">
        <v>184</v>
      </c>
      <c r="D1" s="8" t="s">
        <v>185</v>
      </c>
      <c r="E1" s="8" t="s">
        <v>186</v>
      </c>
      <c r="F1" s="8" t="s">
        <v>187</v>
      </c>
      <c r="G1" s="8" t="s">
        <v>188</v>
      </c>
      <c r="H1" s="8" t="s">
        <v>189</v>
      </c>
      <c r="I1" s="8" t="s">
        <v>190</v>
      </c>
      <c r="J1" s="8" t="s">
        <v>191</v>
      </c>
      <c r="K1" s="8" t="s">
        <v>192</v>
      </c>
      <c r="L1" s="8" t="s">
        <v>193</v>
      </c>
      <c r="M1" s="8" t="s">
        <v>194</v>
      </c>
      <c r="N1" s="8" t="s">
        <v>195</v>
      </c>
      <c r="O1" s="8" t="s">
        <v>196</v>
      </c>
      <c r="P1" s="8" t="s">
        <v>197</v>
      </c>
      <c r="Q1" s="8" t="s">
        <v>198</v>
      </c>
    </row>
    <row r="2" ht="15" customHeight="1" spans="1:16" x14ac:dyDescent="0.25">
      <c r="A2" s="6" t="s">
        <v>107</v>
      </c>
      <c r="D2" s="6">
        <v>5</v>
      </c>
      <c r="E2" s="6">
        <v>5</v>
      </c>
      <c r="F2" s="6">
        <v>5</v>
      </c>
      <c r="H2" s="6">
        <v>5</v>
      </c>
      <c r="I2" s="6">
        <v>5</v>
      </c>
      <c r="J2" s="6">
        <v>5</v>
      </c>
      <c r="K2" s="6">
        <v>5</v>
      </c>
      <c r="L2" s="6">
        <v>5</v>
      </c>
      <c r="O2" s="6">
        <v>5</v>
      </c>
      <c r="P2" s="6">
        <v>5</v>
      </c>
    </row>
    <row r="3" ht="15" customHeight="1" spans="1:16" x14ac:dyDescent="0.25">
      <c r="A3" s="6" t="s">
        <v>137</v>
      </c>
      <c r="D3" s="6">
        <v>5</v>
      </c>
      <c r="E3" s="6">
        <v>5</v>
      </c>
      <c r="F3" s="6">
        <v>5</v>
      </c>
      <c r="H3" s="6">
        <v>5</v>
      </c>
      <c r="I3" s="6">
        <v>5</v>
      </c>
      <c r="J3" s="6">
        <v>5</v>
      </c>
      <c r="K3" s="6">
        <v>5</v>
      </c>
      <c r="L3" s="6">
        <v>5</v>
      </c>
      <c r="M3" s="6">
        <v>5</v>
      </c>
      <c r="O3" s="6">
        <v>5</v>
      </c>
      <c r="P3" s="6">
        <v>5</v>
      </c>
    </row>
    <row r="4" ht="15" customHeight="1" spans="1:16" x14ac:dyDescent="0.25">
      <c r="A4" s="6" t="s">
        <v>153</v>
      </c>
      <c r="B4" s="6">
        <v>5</v>
      </c>
      <c r="F4" s="6">
        <v>5</v>
      </c>
      <c r="I4" s="6">
        <v>5</v>
      </c>
      <c r="K4" s="6">
        <v>5</v>
      </c>
      <c r="M4" s="6">
        <v>5</v>
      </c>
      <c r="P4" s="6">
        <v>5</v>
      </c>
    </row>
    <row r="5" ht="15" customHeight="1" spans="1:16" x14ac:dyDescent="0.25">
      <c r="A5" s="6" t="s">
        <v>158</v>
      </c>
      <c r="D5" s="6">
        <v>5</v>
      </c>
      <c r="E5" s="6">
        <v>5</v>
      </c>
      <c r="F5" s="6">
        <v>5</v>
      </c>
      <c r="G5" s="6">
        <v>5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>
        <v>5</v>
      </c>
      <c r="O5" s="6">
        <v>5</v>
      </c>
      <c r="P5" s="6">
        <v>5</v>
      </c>
    </row>
    <row r="6" ht="15" customHeight="1" spans="1:17" x14ac:dyDescent="0.25">
      <c r="A6" s="6" t="s">
        <v>60</v>
      </c>
      <c r="B6" s="6">
        <v>5</v>
      </c>
      <c r="C6" s="6">
        <v>5</v>
      </c>
      <c r="G6" s="6">
        <v>3</v>
      </c>
      <c r="I6" s="6">
        <v>3</v>
      </c>
      <c r="J6" s="6">
        <v>5</v>
      </c>
      <c r="K6" s="6">
        <v>5</v>
      </c>
      <c r="L6" s="6">
        <v>3</v>
      </c>
      <c r="M6" s="6">
        <v>5</v>
      </c>
      <c r="N6" s="6">
        <v>5</v>
      </c>
      <c r="P6" s="6">
        <v>5</v>
      </c>
      <c r="Q6" s="6">
        <v>5</v>
      </c>
    </row>
    <row r="7" ht="15" customHeight="1" spans="1:17" x14ac:dyDescent="0.25">
      <c r="A7" s="6" t="s">
        <v>73</v>
      </c>
      <c r="B7" s="6">
        <v>3</v>
      </c>
      <c r="C7" s="6">
        <v>5</v>
      </c>
      <c r="G7" s="6">
        <v>5</v>
      </c>
      <c r="I7" s="6">
        <v>5</v>
      </c>
      <c r="J7" s="6">
        <v>5</v>
      </c>
      <c r="K7" s="6">
        <v>3</v>
      </c>
      <c r="L7" s="6">
        <v>5</v>
      </c>
      <c r="M7" s="6">
        <v>5</v>
      </c>
      <c r="N7" s="6">
        <v>5</v>
      </c>
      <c r="P7" s="6">
        <v>5</v>
      </c>
      <c r="Q7" s="6">
        <v>5</v>
      </c>
    </row>
    <row r="8" ht="15" customHeight="1" spans="1:17" x14ac:dyDescent="0.25">
      <c r="A8" s="6" t="s">
        <v>83</v>
      </c>
      <c r="B8" s="6">
        <v>5</v>
      </c>
      <c r="C8" s="6">
        <v>5</v>
      </c>
      <c r="G8" s="6">
        <v>5</v>
      </c>
      <c r="I8" s="6">
        <v>5</v>
      </c>
      <c r="J8" s="6">
        <v>5</v>
      </c>
      <c r="K8" s="6">
        <v>5</v>
      </c>
      <c r="L8" s="6">
        <v>5</v>
      </c>
      <c r="M8" s="6">
        <v>5</v>
      </c>
      <c r="N8" s="6">
        <v>5</v>
      </c>
      <c r="P8" s="6">
        <v>5</v>
      </c>
      <c r="Q8" s="6">
        <v>5</v>
      </c>
    </row>
    <row r="9" ht="15" customHeight="1" spans="1:17" x14ac:dyDescent="0.25">
      <c r="A9" s="6" t="s">
        <v>94</v>
      </c>
      <c r="B9" s="6">
        <v>3</v>
      </c>
      <c r="C9" s="6">
        <v>5</v>
      </c>
      <c r="J9" s="6">
        <v>5</v>
      </c>
      <c r="K9" s="6">
        <v>3</v>
      </c>
      <c r="L9" s="6">
        <v>3</v>
      </c>
      <c r="M9" s="6">
        <v>5</v>
      </c>
      <c r="N9" s="6">
        <v>5</v>
      </c>
      <c r="P9" s="6">
        <v>5</v>
      </c>
      <c r="Q9" s="6">
        <v>5</v>
      </c>
    </row>
    <row r="10" ht="15" customHeight="1" spans="1:17" x14ac:dyDescent="0.25">
      <c r="A10" s="6" t="s">
        <v>67</v>
      </c>
      <c r="B10" s="6">
        <v>5</v>
      </c>
      <c r="C10" s="6">
        <v>5</v>
      </c>
      <c r="G10" s="6">
        <v>3</v>
      </c>
      <c r="I10" s="6">
        <v>3</v>
      </c>
      <c r="J10" s="6">
        <v>5</v>
      </c>
      <c r="K10" s="6">
        <v>5</v>
      </c>
      <c r="L10" s="6">
        <v>3</v>
      </c>
      <c r="M10" s="6">
        <v>5</v>
      </c>
      <c r="N10" s="6">
        <v>5</v>
      </c>
      <c r="P10" s="6">
        <v>5</v>
      </c>
      <c r="Q10" s="6">
        <v>5</v>
      </c>
    </row>
    <row r="11" ht="15" customHeight="1" spans="1:17" x14ac:dyDescent="0.25">
      <c r="A11" s="6" t="s">
        <v>78</v>
      </c>
      <c r="B11" s="6">
        <v>3</v>
      </c>
      <c r="C11" s="6">
        <v>5</v>
      </c>
      <c r="D11" s="6">
        <v>5</v>
      </c>
      <c r="G11" s="6">
        <v>5</v>
      </c>
      <c r="I11" s="6">
        <v>5</v>
      </c>
      <c r="J11" s="6">
        <v>5</v>
      </c>
      <c r="K11" s="6">
        <v>3</v>
      </c>
      <c r="L11" s="6">
        <v>5</v>
      </c>
      <c r="M11" s="6">
        <v>5</v>
      </c>
      <c r="N11" s="6">
        <v>5</v>
      </c>
      <c r="P11" s="6">
        <v>5</v>
      </c>
      <c r="Q11" s="6">
        <v>5</v>
      </c>
    </row>
    <row r="12" ht="15" customHeight="1" spans="1:17" x14ac:dyDescent="0.25">
      <c r="A12" s="6" t="s">
        <v>89</v>
      </c>
      <c r="B12" s="6">
        <v>5</v>
      </c>
      <c r="C12" s="6">
        <v>5</v>
      </c>
      <c r="F12" s="6">
        <v>5</v>
      </c>
      <c r="G12" s="6">
        <v>5</v>
      </c>
      <c r="I12" s="6">
        <v>5</v>
      </c>
      <c r="J12" s="6">
        <v>5</v>
      </c>
      <c r="K12" s="6">
        <v>5</v>
      </c>
      <c r="L12" s="6">
        <v>5</v>
      </c>
      <c r="M12" s="6">
        <v>5</v>
      </c>
      <c r="N12" s="6">
        <v>5</v>
      </c>
      <c r="P12" s="6">
        <v>5</v>
      </c>
      <c r="Q12" s="6">
        <v>5</v>
      </c>
    </row>
    <row r="13" ht="15" customHeight="1" spans="1:17" x14ac:dyDescent="0.25">
      <c r="A13" s="6" t="s">
        <v>99</v>
      </c>
      <c r="B13" s="6">
        <v>3</v>
      </c>
      <c r="C13" s="6">
        <v>5</v>
      </c>
      <c r="H13" s="6">
        <v>5</v>
      </c>
      <c r="J13" s="6">
        <v>5</v>
      </c>
      <c r="K13" s="6">
        <v>3</v>
      </c>
      <c r="L13" s="6">
        <v>3</v>
      </c>
      <c r="M13" s="6">
        <v>5</v>
      </c>
      <c r="N13" s="6">
        <v>5</v>
      </c>
      <c r="P13" s="6">
        <v>5</v>
      </c>
      <c r="Q13" s="6">
        <v>5</v>
      </c>
    </row>
    <row r="14" ht="15" customHeight="1" spans="1:17" x14ac:dyDescent="0.25">
      <c r="A14" s="6" t="s">
        <v>166</v>
      </c>
      <c r="B14" s="6">
        <v>5</v>
      </c>
      <c r="C14" s="6">
        <v>5</v>
      </c>
      <c r="G14" s="6">
        <v>5</v>
      </c>
      <c r="I14" s="6">
        <v>3</v>
      </c>
      <c r="J14" s="6">
        <v>5</v>
      </c>
      <c r="K14" s="6">
        <v>5</v>
      </c>
      <c r="L14" s="6">
        <v>5</v>
      </c>
      <c r="M14" s="6">
        <v>5</v>
      </c>
      <c r="N14" s="6">
        <v>5</v>
      </c>
      <c r="P14" s="6">
        <v>5</v>
      </c>
      <c r="Q14" s="6">
        <v>5</v>
      </c>
    </row>
    <row r="15" ht="15" customHeight="1" spans="1:15" x14ac:dyDescent="0.25">
      <c r="A15" s="6" t="s">
        <v>181</v>
      </c>
      <c r="B15" s="6">
        <v>5</v>
      </c>
      <c r="D15" s="6">
        <v>5</v>
      </c>
      <c r="F15" s="6">
        <v>5</v>
      </c>
      <c r="G15" s="6">
        <v>5</v>
      </c>
      <c r="H15" s="6">
        <v>5</v>
      </c>
      <c r="I15" s="6">
        <v>5</v>
      </c>
      <c r="J15" s="6">
        <v>5</v>
      </c>
      <c r="K15" s="6">
        <v>5</v>
      </c>
      <c r="L15" s="6">
        <v>5</v>
      </c>
      <c r="M15" s="6">
        <v>5</v>
      </c>
      <c r="N15" s="6">
        <v>5</v>
      </c>
      <c r="O15" s="6">
        <v>5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 zoomScale="150" zoomScaleNormal="15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43359375"/>
  <cols>
    <col min="1" max="1" width="10" style="6" customWidth="1"/>
    <col min="2" max="2" width="11" style="6" customWidth="1"/>
    <col min="3" max="3" width="10" style="6" customWidth="1"/>
  </cols>
  <sheetData>
    <row r="1" ht="15" customHeight="1" spans="1:3" s="8" customFormat="1" x14ac:dyDescent="0.25">
      <c r="A1" s="8" t="s">
        <v>44</v>
      </c>
      <c r="B1" s="8" t="s">
        <v>199</v>
      </c>
      <c r="C1" s="8" t="s">
        <v>200</v>
      </c>
    </row>
    <row r="2" ht="15" customHeight="1" spans="1:3" x14ac:dyDescent="0.25">
      <c r="A2" s="6" t="s">
        <v>175</v>
      </c>
      <c r="B2" s="6" t="s">
        <v>201</v>
      </c>
      <c r="C2" s="6">
        <v>5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"/>
  <sheetViews>
    <sheetView workbookViewId="0" zoomScale="150" zoomScaleNormal="15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43359375"/>
  <cols>
    <col min="1" max="1" width="16" style="6" customWidth="1"/>
    <col min="2" max="2" width="10" style="6" customWidth="1"/>
    <col min="3" max="3" width="11" style="6" customWidth="1"/>
    <col min="4" max="7" width="10" style="6" customWidth="1"/>
    <col min="8" max="8" width="12" style="6" customWidth="1"/>
    <col min="9" max="9" width="18" style="6" customWidth="1"/>
    <col min="10" max="13" width="10" style="6" customWidth="1"/>
  </cols>
  <sheetData>
    <row r="1" ht="15" customHeight="1" spans="1:13" s="8" customFormat="1" x14ac:dyDescent="0.25">
      <c r="A1" s="8" t="s">
        <v>202</v>
      </c>
      <c r="B1" s="8" t="s">
        <v>203</v>
      </c>
      <c r="C1" s="8" t="s">
        <v>204</v>
      </c>
      <c r="D1" s="8" t="s">
        <v>205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210</v>
      </c>
      <c r="J1" s="8" t="s">
        <v>211</v>
      </c>
      <c r="K1" s="8" t="s">
        <v>212</v>
      </c>
      <c r="L1" s="8" t="s">
        <v>213</v>
      </c>
      <c r="M1" s="8" t="s">
        <v>214</v>
      </c>
    </row>
    <row r="2" ht="15" customHeight="1" spans="1:13" x14ac:dyDescent="0.25">
      <c r="A2" s="6" t="s">
        <v>215</v>
      </c>
      <c r="J2" s="6">
        <v>80</v>
      </c>
      <c r="L2" s="6">
        <v>20</v>
      </c>
      <c r="M2" s="6">
        <v>2</v>
      </c>
    </row>
    <row r="3" ht="15" customHeight="1" spans="1:13" x14ac:dyDescent="0.25">
      <c r="A3" s="6" t="s">
        <v>216</v>
      </c>
      <c r="J3" s="6">
        <v>90</v>
      </c>
      <c r="L3" s="6">
        <v>18</v>
      </c>
      <c r="M3" s="6">
        <v>3</v>
      </c>
    </row>
    <row r="4" ht="15" customHeight="1" spans="1:13" x14ac:dyDescent="0.25">
      <c r="A4" s="6" t="s">
        <v>217</v>
      </c>
      <c r="J4" s="6">
        <v>78</v>
      </c>
      <c r="L4" s="6">
        <v>15</v>
      </c>
      <c r="M4" s="6">
        <v>4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"/>
  <sheetViews>
    <sheetView workbookViewId="0" zoomScale="150" zoomScaleNormal="150" view="normal">
      <pane ySplit="1" topLeftCell="A2" activePane="bottomLeft" state="frozen"/>
      <selection pane="bottomLeft" activeCell="B2" sqref="B2"/>
    </sheetView>
  </sheetViews>
  <sheetFormatPr defaultRowHeight="15" outlineLevelRow="0" outlineLevelCol="0" x14ac:dyDescent="0" defaultColWidth="8.43359375"/>
  <cols>
    <col min="1" max="1" width="16" style="6" customWidth="1"/>
    <col min="2" max="2" width="10" style="6" customWidth="1"/>
    <col min="3" max="3" width="11" style="6" customWidth="1"/>
    <col min="4" max="7" width="10" style="6" customWidth="1"/>
    <col min="8" max="8" width="12" style="6" customWidth="1"/>
    <col min="9" max="9" width="18" style="6" customWidth="1"/>
    <col min="10" max="13" width="10" style="6" customWidth="1"/>
  </cols>
  <sheetData>
    <row r="1" ht="15" customHeight="1" spans="1:13" s="8" customFormat="1" x14ac:dyDescent="0.25">
      <c r="A1" s="8" t="s">
        <v>202</v>
      </c>
      <c r="B1" s="8" t="s">
        <v>203</v>
      </c>
      <c r="C1" s="8" t="s">
        <v>204</v>
      </c>
      <c r="D1" s="8" t="s">
        <v>205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210</v>
      </c>
      <c r="J1" s="8" t="s">
        <v>211</v>
      </c>
      <c r="K1" s="8" t="s">
        <v>212</v>
      </c>
      <c r="L1" s="8" t="s">
        <v>213</v>
      </c>
      <c r="M1" s="8" t="s">
        <v>214</v>
      </c>
    </row>
    <row r="2" ht="15" customHeight="1" spans="1:13" x14ac:dyDescent="0.25">
      <c r="A2" s="6" t="s">
        <v>215</v>
      </c>
      <c r="B2" s="6">
        <v>2.5</v>
      </c>
      <c r="C2" s="6">
        <v>1.5</v>
      </c>
      <c r="D2" s="6">
        <v>0.5</v>
      </c>
      <c r="E2" s="6">
        <v>1.75</v>
      </c>
      <c r="F2" s="6">
        <v>0.75</v>
      </c>
      <c r="L2" s="6">
        <v>2</v>
      </c>
      <c r="M2" s="6">
        <v>1</v>
      </c>
    </row>
    <row r="3" ht="15" customHeight="1" spans="1:13" x14ac:dyDescent="0.25">
      <c r="A3" s="6" t="s">
        <v>216</v>
      </c>
      <c r="B3" s="6">
        <v>1.25</v>
      </c>
      <c r="C3" s="6">
        <v>2.5</v>
      </c>
      <c r="D3" s="6">
        <v>0.75</v>
      </c>
      <c r="E3" s="6">
        <v>1</v>
      </c>
      <c r="F3" s="6">
        <v>1.5</v>
      </c>
      <c r="L3" s="6">
        <v>1.5</v>
      </c>
      <c r="M3" s="6">
        <v>1.5</v>
      </c>
    </row>
    <row r="4" ht="15" customHeight="1" spans="1:13" x14ac:dyDescent="0.25">
      <c r="A4" s="6" t="s">
        <v>217</v>
      </c>
      <c r="B4" s="6">
        <v>1</v>
      </c>
      <c r="C4" s="6">
        <v>1.75</v>
      </c>
      <c r="D4" s="6">
        <v>2.5</v>
      </c>
      <c r="E4" s="6">
        <v>1</v>
      </c>
      <c r="F4" s="6">
        <v>0.75</v>
      </c>
      <c r="L4" s="6">
        <v>1</v>
      </c>
      <c r="M4" s="6">
        <v>2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 zoomScale="150" zoomScaleNormal="150" view="normal">
      <pane ySplit="1" topLeftCell="A2" activePane="bottomLeft" state="frozen"/>
      <selection pane="bottomLeft" activeCell="B10" sqref="B10"/>
    </sheetView>
  </sheetViews>
  <sheetFormatPr defaultRowHeight="15" outlineLevelRow="0" outlineLevelCol="0" x14ac:dyDescent="0" defaultColWidth="8.43359375"/>
  <cols>
    <col min="1" max="1" width="13" style="6" customWidth="1"/>
    <col min="2" max="2" width="10" style="6" customWidth="1"/>
    <col min="3" max="3" width="11" style="6" customWidth="1"/>
    <col min="4" max="7" width="10" style="6" customWidth="1"/>
    <col min="8" max="8" width="12" style="6" customWidth="1"/>
    <col min="9" max="9" width="18" style="6" customWidth="1"/>
    <col min="10" max="13" width="10" style="6" customWidth="1"/>
  </cols>
  <sheetData>
    <row r="1" ht="15" customHeight="1" spans="1:13" s="8" customFormat="1" x14ac:dyDescent="0.25">
      <c r="A1" s="8" t="s">
        <v>218</v>
      </c>
      <c r="B1" s="8" t="s">
        <v>203</v>
      </c>
      <c r="C1" s="8" t="s">
        <v>204</v>
      </c>
      <c r="D1" s="8" t="s">
        <v>205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210</v>
      </c>
      <c r="J1" s="8" t="s">
        <v>211</v>
      </c>
      <c r="K1" s="8" t="s">
        <v>212</v>
      </c>
      <c r="L1" s="8" t="s">
        <v>213</v>
      </c>
      <c r="M1" s="8" t="s">
        <v>214</v>
      </c>
    </row>
    <row r="2" ht="15" customHeight="1" spans="1:12" x14ac:dyDescent="0.25">
      <c r="A2" s="6" t="s">
        <v>219</v>
      </c>
      <c r="B2" s="6">
        <v>100</v>
      </c>
      <c r="E2" s="6">
        <v>1</v>
      </c>
      <c r="G2" s="6">
        <v>2</v>
      </c>
      <c r="H2" s="6">
        <v>0</v>
      </c>
      <c r="J2" s="6">
        <v>70</v>
      </c>
      <c r="L2" s="6">
        <v>4</v>
      </c>
    </row>
    <row r="3" ht="15" customHeight="1" spans="1:12" x14ac:dyDescent="0.25">
      <c r="A3" s="6" t="s">
        <v>220</v>
      </c>
      <c r="D3" s="6">
        <v>4</v>
      </c>
      <c r="E3" s="6">
        <v>1.5</v>
      </c>
      <c r="G3" s="6">
        <v>1</v>
      </c>
      <c r="J3" s="6">
        <v>60</v>
      </c>
      <c r="L3" s="6">
        <v>3</v>
      </c>
    </row>
    <row r="4" ht="15" customHeight="1" spans="1:12" x14ac:dyDescent="0.25">
      <c r="A4" s="6" t="s">
        <v>221</v>
      </c>
      <c r="B4" s="6">
        <v>20</v>
      </c>
      <c r="C4" s="6">
        <v>20</v>
      </c>
      <c r="D4" s="6">
        <v>6</v>
      </c>
      <c r="G4" s="6">
        <v>5</v>
      </c>
      <c r="J4" s="6">
        <v>0</v>
      </c>
      <c r="K4" s="6">
        <v>0</v>
      </c>
      <c r="L4" s="6">
        <v>40</v>
      </c>
    </row>
    <row r="5" ht="15" customHeight="1" spans="1:12" x14ac:dyDescent="0.25">
      <c r="A5" s="6" t="s">
        <v>222</v>
      </c>
      <c r="D5" s="6">
        <v>8</v>
      </c>
      <c r="E5" s="6">
        <v>1</v>
      </c>
      <c r="G5" s="6">
        <v>1</v>
      </c>
      <c r="J5" s="6">
        <v>100</v>
      </c>
      <c r="L5" s="6">
        <v>1</v>
      </c>
    </row>
    <row r="6" ht="15" customHeight="1" spans="1:12" x14ac:dyDescent="0.25">
      <c r="A6" s="6" t="s">
        <v>223</v>
      </c>
      <c r="G6" s="6">
        <v>10</v>
      </c>
      <c r="L6" s="6">
        <v>3</v>
      </c>
    </row>
    <row r="7" ht="15" customHeight="1" spans="1:13" x14ac:dyDescent="0.25">
      <c r="A7" s="6" t="s">
        <v>224</v>
      </c>
      <c r="B7" s="6">
        <v>2</v>
      </c>
      <c r="C7" s="6">
        <v>7</v>
      </c>
      <c r="E7" s="6">
        <v>1.5</v>
      </c>
      <c r="F7" s="6">
        <v>2</v>
      </c>
      <c r="G7" s="6">
        <v>2</v>
      </c>
      <c r="J7" s="6">
        <v>80</v>
      </c>
      <c r="L7" s="6">
        <v>35</v>
      </c>
      <c r="M7" s="6">
        <v>2</v>
      </c>
    </row>
    <row r="8" ht="15" customHeight="1" spans="1:13" x14ac:dyDescent="0.25">
      <c r="A8" s="6" t="s">
        <v>225</v>
      </c>
      <c r="B8" s="6">
        <v>2</v>
      </c>
      <c r="C8" s="6">
        <v>4</v>
      </c>
      <c r="D8" s="6">
        <v>0</v>
      </c>
      <c r="E8" s="6">
        <v>1.5</v>
      </c>
      <c r="F8" s="6">
        <v>0</v>
      </c>
      <c r="G8" s="6">
        <v>1</v>
      </c>
      <c r="J8" s="6">
        <v>80</v>
      </c>
      <c r="L8" s="6">
        <v>5</v>
      </c>
      <c r="M8" s="6">
        <v>0</v>
      </c>
    </row>
    <row r="9" ht="15" customHeight="1" spans="1:12" x14ac:dyDescent="0.25">
      <c r="A9" s="6" t="s">
        <v>226</v>
      </c>
      <c r="B9" s="6">
        <v>50</v>
      </c>
      <c r="E9" s="6">
        <v>0</v>
      </c>
      <c r="G9" s="6">
        <v>1</v>
      </c>
      <c r="H9" s="6">
        <v>0</v>
      </c>
      <c r="J9" s="6">
        <v>55</v>
      </c>
      <c r="L9" s="6">
        <v>7</v>
      </c>
    </row>
    <row r="10" ht="15" customHeight="1" spans="1:12" x14ac:dyDescent="0.25">
      <c r="A10" s="6" t="s">
        <v>227</v>
      </c>
      <c r="B10" s="6">
        <v>2</v>
      </c>
      <c r="E10" s="6">
        <v>2</v>
      </c>
      <c r="G10" s="6">
        <v>1</v>
      </c>
      <c r="H10" s="6">
        <v>0</v>
      </c>
      <c r="J10" s="6">
        <v>70</v>
      </c>
      <c r="L10" s="6">
        <v>1</v>
      </c>
    </row>
    <row r="11" ht="15" customHeight="1" spans="1:12" x14ac:dyDescent="0.25">
      <c r="A11" s="6" t="s">
        <v>228</v>
      </c>
      <c r="B11" s="6">
        <v>4</v>
      </c>
      <c r="C11" s="6">
        <v>1</v>
      </c>
      <c r="E11" s="6">
        <v>2</v>
      </c>
      <c r="G11" s="6">
        <v>1</v>
      </c>
      <c r="H11" s="6">
        <v>0</v>
      </c>
      <c r="J11" s="6">
        <v>70</v>
      </c>
      <c r="L11" s="6">
        <v>2</v>
      </c>
    </row>
    <row r="12" ht="15" customHeight="1" spans="1:12" x14ac:dyDescent="0.25">
      <c r="A12" s="6" t="s">
        <v>229</v>
      </c>
      <c r="B12" s="6">
        <v>1</v>
      </c>
      <c r="C12" s="6">
        <v>2</v>
      </c>
      <c r="E12" s="6">
        <v>0</v>
      </c>
      <c r="G12" s="6">
        <v>2</v>
      </c>
      <c r="H12" s="6">
        <v>0</v>
      </c>
      <c r="J12" s="6">
        <v>65</v>
      </c>
      <c r="L12" s="6">
        <v>1.5</v>
      </c>
    </row>
    <row r="13" ht="13.5" customHeight="1" spans="1:13" x14ac:dyDescent="0.25">
      <c r="A13" s="6" t="s">
        <v>230</v>
      </c>
      <c r="B13" s="6">
        <v>5</v>
      </c>
      <c r="C13" s="6">
        <v>5</v>
      </c>
      <c r="D13" s="6">
        <v>0</v>
      </c>
      <c r="E13" s="6">
        <v>3</v>
      </c>
      <c r="F13" s="6">
        <v>2</v>
      </c>
      <c r="H13" s="6">
        <v>1.5</v>
      </c>
      <c r="J13" s="6">
        <v>70</v>
      </c>
      <c r="K13" s="6">
        <v>3</v>
      </c>
      <c r="L13" s="6">
        <v>70</v>
      </c>
      <c r="M13" s="6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 zoomScale="150" zoomScaleNormal="15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43359375"/>
  <cols>
    <col min="1" max="1" width="13" style="6" customWidth="1"/>
    <col min="2" max="2" width="10" style="6" customWidth="1"/>
    <col min="3" max="3" width="11" style="6" customWidth="1"/>
    <col min="4" max="7" width="10" style="6" customWidth="1"/>
    <col min="8" max="8" width="12" style="6" customWidth="1"/>
    <col min="9" max="9" width="18" style="6" customWidth="1"/>
    <col min="10" max="13" width="10" style="6" customWidth="1"/>
  </cols>
  <sheetData>
    <row r="1" ht="15" customHeight="1" spans="1:13" s="8" customFormat="1" x14ac:dyDescent="0.25">
      <c r="A1" s="8" t="s">
        <v>218</v>
      </c>
      <c r="B1" s="8" t="s">
        <v>203</v>
      </c>
      <c r="C1" s="8" t="s">
        <v>204</v>
      </c>
      <c r="D1" s="8" t="s">
        <v>205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210</v>
      </c>
      <c r="J1" s="8" t="s">
        <v>211</v>
      </c>
      <c r="K1" s="8" t="s">
        <v>212</v>
      </c>
      <c r="L1" s="8" t="s">
        <v>213</v>
      </c>
      <c r="M1" s="8" t="s">
        <v>214</v>
      </c>
    </row>
    <row r="2" ht="15" customHeight="1" spans="1:13" x14ac:dyDescent="0.25">
      <c r="A2" s="6" t="s">
        <v>219</v>
      </c>
      <c r="B2" s="6">
        <v>7</v>
      </c>
      <c r="C2" s="6">
        <v>8</v>
      </c>
      <c r="E2" s="6">
        <v>1.5</v>
      </c>
      <c r="F2" s="6">
        <v>2</v>
      </c>
      <c r="H2" s="6">
        <v>4.5</v>
      </c>
      <c r="K2" s="6">
        <v>10</v>
      </c>
      <c r="L2" s="6">
        <v>4.5</v>
      </c>
      <c r="M2" s="6">
        <v>0</v>
      </c>
    </row>
    <row r="3" ht="15" customHeight="1" spans="1:12" x14ac:dyDescent="0.25">
      <c r="A3" s="6" t="s">
        <v>220</v>
      </c>
      <c r="D3" s="6">
        <v>10</v>
      </c>
      <c r="E3" s="6">
        <v>1.5</v>
      </c>
      <c r="F3" s="6">
        <v>1.5</v>
      </c>
      <c r="H3" s="6">
        <v>2.5</v>
      </c>
      <c r="K3" s="6">
        <v>1</v>
      </c>
      <c r="L3" s="6">
        <v>4.5</v>
      </c>
    </row>
    <row r="4" ht="15" customHeight="1" spans="1:12" x14ac:dyDescent="0.25">
      <c r="A4" s="6" t="s">
        <v>221</v>
      </c>
      <c r="D4" s="6">
        <v>14</v>
      </c>
      <c r="F4" s="6">
        <v>1.5</v>
      </c>
      <c r="K4" s="6">
        <v>0</v>
      </c>
      <c r="L4" s="6">
        <v>0</v>
      </c>
    </row>
    <row r="5" ht="15" customHeight="1" spans="1:12" x14ac:dyDescent="0.25">
      <c r="A5" s="6" t="s">
        <v>222</v>
      </c>
      <c r="D5" s="6">
        <v>6</v>
      </c>
      <c r="E5" s="6">
        <v>1</v>
      </c>
      <c r="F5" s="6">
        <v>1.5</v>
      </c>
      <c r="L5" s="6">
        <v>22</v>
      </c>
    </row>
    <row r="6" ht="15" customHeight="1" spans="1:7" x14ac:dyDescent="0.25">
      <c r="A6" s="6" t="s">
        <v>223</v>
      </c>
      <c r="G6" s="6">
        <v>10</v>
      </c>
    </row>
    <row r="7" ht="15" customHeight="1" spans="1:13" x14ac:dyDescent="0.25">
      <c r="A7" s="6" t="s">
        <v>224</v>
      </c>
      <c r="B7" s="6">
        <v>8</v>
      </c>
      <c r="C7" s="6">
        <v>6</v>
      </c>
      <c r="E7" s="6">
        <v>1.5</v>
      </c>
      <c r="F7" s="6">
        <v>2</v>
      </c>
      <c r="H7" s="6">
        <v>7.5</v>
      </c>
      <c r="K7" s="6">
        <v>12</v>
      </c>
      <c r="L7" s="6">
        <v>4.5</v>
      </c>
      <c r="M7" s="6">
        <v>0</v>
      </c>
    </row>
    <row r="8" ht="15" customHeight="1" spans="1:13" x14ac:dyDescent="0.25">
      <c r="A8" s="6" t="s">
        <v>225</v>
      </c>
      <c r="B8" s="6">
        <v>3</v>
      </c>
      <c r="C8" s="6">
        <v>3</v>
      </c>
      <c r="D8" s="6">
        <v>2</v>
      </c>
      <c r="E8" s="6">
        <v>0.5</v>
      </c>
      <c r="F8" s="6">
        <v>1</v>
      </c>
      <c r="H8" s="6">
        <v>2</v>
      </c>
      <c r="K8" s="6">
        <v>6</v>
      </c>
      <c r="L8" s="6">
        <v>3.5</v>
      </c>
      <c r="M8" s="6">
        <v>0</v>
      </c>
    </row>
    <row r="9" ht="15" customHeight="1" spans="1:13" x14ac:dyDescent="0.25">
      <c r="A9" s="6" t="s">
        <v>226</v>
      </c>
      <c r="B9" s="6">
        <v>5</v>
      </c>
      <c r="C9" s="6">
        <v>3</v>
      </c>
      <c r="E9" s="6">
        <v>2.5</v>
      </c>
      <c r="F9" s="6">
        <v>2</v>
      </c>
      <c r="H9" s="6">
        <v>4.5</v>
      </c>
      <c r="K9" s="6">
        <v>2</v>
      </c>
      <c r="L9" s="6">
        <v>4.5</v>
      </c>
      <c r="M9" s="6">
        <v>0</v>
      </c>
    </row>
    <row r="10" ht="15" customHeight="1" spans="1:13" x14ac:dyDescent="0.25">
      <c r="A10" s="6" t="s">
        <v>227</v>
      </c>
      <c r="B10" s="6">
        <v>4</v>
      </c>
      <c r="C10" s="6">
        <v>4</v>
      </c>
      <c r="E10" s="6">
        <v>2</v>
      </c>
      <c r="F10" s="6">
        <v>2</v>
      </c>
      <c r="H10" s="6">
        <v>7.5</v>
      </c>
      <c r="K10" s="6">
        <v>2</v>
      </c>
      <c r="L10" s="6">
        <v>3.5</v>
      </c>
      <c r="M10" s="6">
        <v>0</v>
      </c>
    </row>
    <row r="11" ht="15" customHeight="1" spans="1:13" x14ac:dyDescent="0.25">
      <c r="A11" s="6" t="s">
        <v>228</v>
      </c>
      <c r="B11" s="6">
        <v>4</v>
      </c>
      <c r="C11" s="6">
        <v>5</v>
      </c>
      <c r="D11" s="6">
        <v>2</v>
      </c>
      <c r="E11" s="6">
        <v>2</v>
      </c>
      <c r="F11" s="6">
        <v>2</v>
      </c>
      <c r="H11" s="6">
        <v>7.5</v>
      </c>
      <c r="K11" s="6">
        <v>2</v>
      </c>
      <c r="L11" s="6">
        <v>3.5</v>
      </c>
      <c r="M11" s="6">
        <v>0</v>
      </c>
    </row>
    <row r="12" ht="15" customHeight="1" spans="1:13" x14ac:dyDescent="0.25">
      <c r="A12" s="6" t="s">
        <v>229</v>
      </c>
      <c r="B12" s="6">
        <v>2</v>
      </c>
      <c r="C12" s="6">
        <v>5</v>
      </c>
      <c r="D12" s="6">
        <v>2</v>
      </c>
      <c r="E12" s="6">
        <v>1</v>
      </c>
      <c r="F12" s="6">
        <v>3</v>
      </c>
      <c r="H12" s="6">
        <v>1.5</v>
      </c>
      <c r="K12" s="6">
        <v>3</v>
      </c>
      <c r="L12" s="6">
        <v>1.5</v>
      </c>
      <c r="M12" s="6">
        <v>0</v>
      </c>
    </row>
    <row r="13" ht="15" customHeight="1" spans="1:13" x14ac:dyDescent="0.25">
      <c r="A13" s="6" t="s">
        <v>230</v>
      </c>
      <c r="B13" s="6">
        <v>5</v>
      </c>
      <c r="C13" s="6">
        <v>5</v>
      </c>
      <c r="D13" s="6">
        <v>0</v>
      </c>
      <c r="E13" s="6">
        <v>3</v>
      </c>
      <c r="F13" s="6">
        <v>2</v>
      </c>
      <c r="H13" s="6">
        <v>1.5</v>
      </c>
      <c r="K13" s="6">
        <v>3</v>
      </c>
      <c r="L13" s="6">
        <v>3.5</v>
      </c>
      <c r="M13" s="6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attack-damage</vt:lpstr>
      <vt:lpstr>by-level-attribute-visual</vt:lpstr>
      <vt:lpstr>balancing</vt:lpstr>
      <vt:lpstr>equipment-armor</vt:lpstr>
      <vt:lpstr>equipment-weapons</vt:lpstr>
      <vt:lpstr>equipment-shields</vt:lpstr>
      <vt:lpstr>equipment-jewelry</vt:lpstr>
      <vt:lpstr>equipment-affix-profiles</vt:lpstr>
      <vt:lpstr>equipment-affix-overrides</vt:lpstr>
      <vt:lpstr>class-starting-attributes</vt:lpstr>
      <vt:lpstr>class-attributes-per-level</vt:lpstr>
      <vt:lpstr>monster-starting-attributes</vt:lpstr>
      <vt:lpstr>monster-attributes-per-level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68</cp:revision>
  <dcterms:created xsi:type="dcterms:W3CDTF">2026-08-01T20:26:07Z</dcterms:created>
  <dcterms:modified xsi:type="dcterms:W3CDTF">2026-08-03T09:44:20Z</dcterms:modified>
</cp:coreProperties>
</file>