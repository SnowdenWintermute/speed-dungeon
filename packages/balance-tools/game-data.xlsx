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lancing" sheetId="1" state="visible" r:id="rId2"/>
    <sheet name="equipment-requirement-targets" sheetId="2" state="visible" r:id="rId3"/>
    <sheet name="equipment-armor" sheetId="3" state="visible" r:id="rId4"/>
    <sheet name="equipment-weapons" sheetId="4" state="visible" r:id="rId5"/>
    <sheet name="equipment-shields" sheetId="5" state="visible" r:id="rId6"/>
    <sheet name="equipment-jewelry" sheetId="6" state="visible" r:id="rId7"/>
    <sheet name="equipment-affix-profiles" sheetId="7" state="visible" r:id="rId8"/>
    <sheet name="equipment-affix-overrides" sheetId="8" state="visible" r:id="rId9"/>
    <sheet name="class-starting-attributes" sheetId="9" state="visible" r:id="rId10"/>
    <sheet name="class-attributes-per-level" sheetId="10" state="visible" r:id="rId11"/>
    <sheet name="monster-starting-attributes" sheetId="11" state="visible" r:id="rId12"/>
    <sheet name="monster-attributes-per-level" sheetId="12" state="visible" r:id="rId13"/>
  </sheets>
  <definedNames>
    <definedName function="false" hidden="false" name="ArmorClassModifier" vbProcedure="false">balancing!$B$9</definedName>
    <definedName function="false" hidden="false" name="CombatantLevelAttributeMod" vbProcedure="false">balancing!$B$10</definedName>
    <definedName function="false" hidden="false" name="RogueDexPerLvl" vbProcedure="false">'class-attributes-per-level'!$C$3</definedName>
    <definedName function="false" hidden="false" name="RogueStrPerLvl" vbProcedure="false">'class-attributes-per-level'!$B$3</definedName>
    <definedName function="false" hidden="false" name="WarriorAgiPerLvl" vbProcedure="false">'class-attributes-per-level'!$F$2</definedName>
    <definedName function="false" hidden="false" name="WarriorDexPerLvl" vbProcedure="false">'class-attributes-per-level'!$C$2</definedName>
    <definedName function="false" hidden="false" name="WarriorSprPerLvl" vbProcedure="false">'class-attributes-per-level'!$D$2</definedName>
    <definedName function="false" hidden="false" name="WarriorStrPerLvl" vbProcedure="false">'class-attributes-per-level'!$B$2</definedName>
    <definedName function="false" hidden="false" name="WarriorVitPerLvl" vbProcedure="false">'class-attributes-per-level'!$E$2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<sst xmlns="http://schemas.openxmlformats.org/spreadsheetml/2006/main" count="1237" uniqueCount="237">
  <si>
    <t xml:space="preserve">Total AC Body+Headgear per tier</t>
  </si>
  <si>
    <t xml:space="preserve">Plate</t>
  </si>
  <si>
    <t xml:space="preserve">Mail</t>
  </si>
  <si>
    <t xml:space="preserve">Leather</t>
  </si>
  <si>
    <t xml:space="preserve">Cloth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</si>
  <si>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</si>
  <si>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</si>
  <si>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</si>
  <si>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</si>
  <si>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</si>
  <si>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Ac Modifier</t>
  </si>
  <si>
    <t xml:space="preserve">Level Attribute Mod</t>
  </si>
  <si>
    <t xml:space="preserve">Shields</t>
  </si>
  <si>
    <t xml:space="preserve">Average</t>
  </si>
  <si>
    <t xml:space="preserve">Average Hit</t>
  </si>
  <si>
    <t xml:space="preserve">With Shield</t>
  </si>
  <si>
    <t xml:space="preserve">Gear slot count</t>
  </si>
  <si>
    <t xml:space="preserve">Max attribute per slot</t>
  </si>
  <si>
    <t xml:space="preserve">Derived attribute mod</t>
  </si>
  <si>
    <t xml:space="preserve">Max derived per slot</t>
  </si>
  <si>
    <t xml:space="preserve">Discretionary per main lvl</t>
  </si>
  <si>
    <t xml:space="preserve">Max Level Main</t>
  </si>
  <si>
    <t xml:space="preserve">Discretionary main total</t>
  </si>
  <si>
    <t xml:space="preserve">Max level Sub</t>
  </si>
  <si>
    <t xml:space="preserve">Discretionary per sub lvl</t>
  </si>
  <si>
    <t xml:space="preserve">Discretionary sub total</t>
  </si>
  <si>
    <t xml:space="preserve">Discretionary total</t>
  </si>
  <si>
    <t xml:space="preserve">Max attributes gear</t>
  </si>
  <si>
    <t xml:space="preserve">Max inherent single</t>
  </si>
  <si>
    <t xml:space="preserve">Single attribute max</t>
  </si>
  <si>
    <t xml:space="preserve">Believable percent allocated to single attribute</t>
  </si>
  <si>
    <t xml:space="preserve">Avg high attribute alloc</t>
  </si>
  <si>
    <t xml:space="preserve">baseItem</t>
  </si>
  <si>
    <t xml:space="preserve">equipmentType</t>
  </si>
  <si>
    <t xml:space="preserve">study</t>
  </si>
  <si>
    <t xml:space="preserve">goal</t>
  </si>
  <si>
    <t xml:space="preserve">attributes </t>
  </si>
  <si>
    <t xml:space="preserve">weaponSpecialty</t>
  </si>
  <si>
    <t xml:space="preserve">mainClass</t>
  </si>
  <si>
    <t xml:space="preserve">supportClass</t>
  </si>
  <si>
    <t xml:space="preserve">availabilityPercentile</t>
  </si>
  <si>
    <t xml:space="preserve">Rags</t>
  </si>
  <si>
    <t xml:space="preserve">BodyArmor</t>
  </si>
  <si>
    <t xml:space="preserve">Cloak</t>
  </si>
  <si>
    <t xml:space="preserve">CasterDamageMixed</t>
  </si>
  <si>
    <t xml:space="preserve">IceBoltDamage</t>
  </si>
  <si>
    <t xml:space="preserve">Spirit</t>
  </si>
  <si>
    <t xml:space="preserve">Mage</t>
  </si>
  <si>
    <t xml:space="preserve">Rogue</t>
  </si>
  <si>
    <t xml:space="preserve">Robe</t>
  </si>
  <si>
    <t xml:space="preserve">OfficersRobe</t>
  </si>
  <si>
    <t xml:space="preserve">MageRobe</t>
  </si>
  <si>
    <t xml:space="preserve">Cap</t>
  </si>
  <si>
    <t xml:space="preserve">HeadGear</t>
  </si>
  <si>
    <t xml:space="preserve">Bandana</t>
  </si>
  <si>
    <t xml:space="preserve">PaddedCap</t>
  </si>
  <si>
    <t xml:space="preserve">Ribbon</t>
  </si>
  <si>
    <t xml:space="preserve">WizardHat</t>
  </si>
  <si>
    <t xml:space="preserve">LeatherVest</t>
  </si>
  <si>
    <t xml:space="preserve">AttackDamageGroupOne</t>
  </si>
  <si>
    <t xml:space="preserve">WeaponAttackDamage</t>
  </si>
  <si>
    <t xml:space="preserve">Dexterity</t>
  </si>
  <si>
    <t xml:space="preserve">TwoHandedRanged</t>
  </si>
  <si>
    <t xml:space="preserve">Warrior</t>
  </si>
  <si>
    <t xml:space="preserve">HardLeather</t>
  </si>
  <si>
    <t xml:space="preserve">StuddedLeather</t>
  </si>
  <si>
    <t xml:space="preserve">DemonsaurLeather</t>
  </si>
  <si>
    <t xml:space="preserve">Eyepatch</t>
  </si>
  <si>
    <t xml:space="preserve">LeatherHat</t>
  </si>
  <si>
    <t xml:space="preserve">LeatherHelm</t>
  </si>
  <si>
    <t xml:space="preserve">DemonsaurHelm</t>
  </si>
  <si>
    <t xml:space="preserve">RingMail</t>
  </si>
  <si>
    <t xml:space="preserve">Strength</t>
  </si>
  <si>
    <t xml:space="preserve">TwoHandedMelee</t>
  </si>
  <si>
    <t xml:space="preserve">ChainMail</t>
  </si>
  <si>
    <t xml:space="preserve">Dexterity, Strength</t>
  </si>
  <si>
    <t xml:space="preserve">SplintMail</t>
  </si>
  <si>
    <t xml:space="preserve">FeatherMail</t>
  </si>
  <si>
    <t xml:space="preserve">OhmushellMail</t>
  </si>
  <si>
    <t xml:space="preserve">Hairpin</t>
  </si>
  <si>
    <t xml:space="preserve">Skullcap</t>
  </si>
  <si>
    <t xml:space="preserve">Coif</t>
  </si>
  <si>
    <t xml:space="preserve">OhmushellMask</t>
  </si>
  <si>
    <t xml:space="preserve">BreastPlate</t>
  </si>
  <si>
    <t xml:space="preserve">FieldPlate</t>
  </si>
  <si>
    <t xml:space="preserve">GothicPlate</t>
  </si>
  <si>
    <t xml:space="preserve">FullPlate</t>
  </si>
  <si>
    <t xml:space="preserve">Circlet</t>
  </si>
  <si>
    <t xml:space="preserve">Crown</t>
  </si>
  <si>
    <t xml:space="preserve">FullHelm</t>
  </si>
  <si>
    <t xml:space="preserve">GreatHelm</t>
  </si>
  <si>
    <t xml:space="preserve">Stick</t>
  </si>
  <si>
    <t xml:space="preserve">OneHandedMeleeWeapon</t>
  </si>
  <si>
    <t xml:space="preserve">Club</t>
  </si>
  <si>
    <t xml:space="preserve">CasterDualWieldRanged</t>
  </si>
  <si>
    <t xml:space="preserve">DualWield</t>
  </si>
  <si>
    <t xml:space="preserve">Mace</t>
  </si>
  <si>
    <t xml:space="preserve">Morningstar</t>
  </si>
  <si>
    <t xml:space="preserve">WarHammer</t>
  </si>
  <si>
    <t xml:space="preserve">ButterKnife</t>
  </si>
  <si>
    <t xml:space="preserve">ShortSword</t>
  </si>
  <si>
    <t xml:space="preserve">Strength, Dexterity</t>
  </si>
  <si>
    <t xml:space="preserve">Blade</t>
  </si>
  <si>
    <t xml:space="preserve">BroadSword</t>
  </si>
  <si>
    <t xml:space="preserve">BastardSword</t>
  </si>
  <si>
    <t xml:space="preserve">Dagger</t>
  </si>
  <si>
    <t xml:space="preserve">Rapier</t>
  </si>
  <si>
    <t xml:space="preserve">ShortSpear</t>
  </si>
  <si>
    <t xml:space="preserve">RuneSword</t>
  </si>
  <si>
    <t xml:space="preserve">Dexterity, Spirit</t>
  </si>
  <si>
    <t xml:space="preserve">EtherBlade</t>
  </si>
  <si>
    <t xml:space="preserve">IceBlade</t>
  </si>
  <si>
    <t xml:space="preserve">MapleWand</t>
  </si>
  <si>
    <t xml:space="preserve">WillowWand</t>
  </si>
  <si>
    <t xml:space="preserve">YewWand</t>
  </si>
  <si>
    <t xml:space="preserve">RoseWand</t>
  </si>
  <si>
    <t xml:space="preserve">RottingBranch</t>
  </si>
  <si>
    <t xml:space="preserve">TwoHandedMeleeWeapon</t>
  </si>
  <si>
    <t xml:space="preserve">BoStaff</t>
  </si>
  <si>
    <t xml:space="preserve">Spear</t>
  </si>
  <si>
    <t xml:space="preserve">Bardiche</t>
  </si>
  <si>
    <t xml:space="preserve">SplittingMaul</t>
  </si>
  <si>
    <t xml:space="preserve">Maul</t>
  </si>
  <si>
    <t xml:space="preserve">BattleAxe</t>
  </si>
  <si>
    <t xml:space="preserve">Glaive</t>
  </si>
  <si>
    <t xml:space="preserve">ElementalStaff</t>
  </si>
  <si>
    <t xml:space="preserve">Trident</t>
  </si>
  <si>
    <t xml:space="preserve">GreatAxe</t>
  </si>
  <si>
    <t xml:space="preserve">GravityHammer</t>
  </si>
  <si>
    <t xml:space="preserve">ElmStaff</t>
  </si>
  <si>
    <t xml:space="preserve">MahoganyStaff</t>
  </si>
  <si>
    <t xml:space="preserve">EbonyStaff</t>
  </si>
  <si>
    <t xml:space="preserve">ShortBow</t>
  </si>
  <si>
    <t xml:space="preserve">TwoHandedRangedWeapon</t>
  </si>
  <si>
    <t xml:space="preserve">RecurveBow</t>
  </si>
  <si>
    <t xml:space="preserve">CompositeBow</t>
  </si>
  <si>
    <t xml:space="preserve">MilitaryBow</t>
  </si>
  <si>
    <t xml:space="preserve">EtherBow</t>
  </si>
  <si>
    <t xml:space="preserve">PotLid</t>
  </si>
  <si>
    <t xml:space="preserve">Buckler</t>
  </si>
  <si>
    <t xml:space="preserve">Shield</t>
  </si>
  <si>
    <t xml:space="preserve">LanternShield</t>
  </si>
  <si>
    <t xml:space="preserve">AncientBuckler</t>
  </si>
  <si>
    <t xml:space="preserve">CabinetDoor</t>
  </si>
  <si>
    <t xml:space="preserve">Heater</t>
  </si>
  <si>
    <t xml:space="preserve">Aspis</t>
  </si>
  <si>
    <t xml:space="preserve">KiteShield</t>
  </si>
  <si>
    <t xml:space="preserve">GothicShield</t>
  </si>
  <si>
    <t xml:space="preserve">Pavise</t>
  </si>
  <si>
    <t xml:space="preserve">TowerShield</t>
  </si>
  <si>
    <t xml:space="preserve">affixProfile</t>
  </si>
  <si>
    <t xml:space="preserve">minLvl</t>
  </si>
  <si>
    <t xml:space="preserve">maxLvl</t>
  </si>
  <si>
    <t xml:space="preserve">minAc</t>
  </si>
  <si>
    <t xml:space="preserve">maxAc</t>
  </si>
  <si>
    <t xml:space="preserve">armorCategory</t>
  </si>
  <si>
    <t xml:space="preserve">maxDura</t>
  </si>
  <si>
    <t xml:space="preserve">reqStr</t>
  </si>
  <si>
    <t xml:space="preserve">reqDex</t>
  </si>
  <si>
    <t xml:space="preserve">reqSpr</t>
  </si>
  <si>
    <t xml:space="preserve">reqVit</t>
  </si>
  <si>
    <t xml:space="preserve">reqAgi</t>
  </si>
  <si>
    <t xml:space="preserve">BodyArmorCloth</t>
  </si>
  <si>
    <t xml:space="preserve">HeadGearCloth</t>
  </si>
  <si>
    <t xml:space="preserve">BodyArmorLeather</t>
  </si>
  <si>
    <t xml:space="preserve">HeadGearLeather</t>
  </si>
  <si>
    <t xml:space="preserve">BodyArmorMail</t>
  </si>
  <si>
    <t xml:space="preserve">HeadGearMail</t>
  </si>
  <si>
    <t xml:space="preserve">BodyArmorPlate</t>
  </si>
  <si>
    <t xml:space="preserve">HeadGearPlate</t>
  </si>
  <si>
    <t xml:space="preserve">minDmg</t>
  </si>
  <si>
    <t xml:space="preserve">maxDmg</t>
  </si>
  <si>
    <t xml:space="preserve">damageClassificationsCount</t>
  </si>
  <si>
    <t xml:space="preserve">damageClassifications</t>
  </si>
  <si>
    <t xml:space="preserve">OneHandedMelee</t>
  </si>
  <si>
    <t xml:space="preserve">Physical:Blunt</t>
  </si>
  <si>
    <t xml:space="preserve">Physical:Slashing</t>
  </si>
  <si>
    <t xml:space="preserve">Physical:Slashing|Physical:Piercing</t>
  </si>
  <si>
    <t xml:space="preserve">Physical:Piercing</t>
  </si>
  <si>
    <t xml:space="preserve">Physical:Slashing:Fire|Physical:Slashing:Ice|Physical:Slashing:Lightning|Physical:Slashing:Water|Physical:Slashing:Earth|Physical:Slashing:Wind</t>
  </si>
  <si>
    <t xml:space="preserve">Magical:Slashing</t>
  </si>
  <si>
    <t xml:space="preserve">Physical:Slashing:Ice</t>
  </si>
  <si>
    <t xml:space="preserve">Magical</t>
  </si>
  <si>
    <t xml:space="preserve">Physical:Slashing|Physical:Blunt</t>
  </si>
  <si>
    <t xml:space="preserve">Physical:Blunt:Fire|Physical:Blunt:Ice|Physical:Blunt:Lightning|Physical:Blunt:Water|Physical:Blunt:Earth|Physical:Blunt:Wind</t>
  </si>
  <si>
    <t xml:space="preserve">Magical:none:Water|Physical:Piercing</t>
  </si>
  <si>
    <t xml:space="preserve">TwoHandedMeleeCaster</t>
  </si>
  <si>
    <t xml:space="preserve">Magical:Piercing</t>
  </si>
  <si>
    <t xml:space="preserve">shieldSize</t>
  </si>
  <si>
    <t xml:space="preserve">Small</t>
  </si>
  <si>
    <t xml:space="preserve">Medium</t>
  </si>
  <si>
    <t xml:space="preserve">Large</t>
  </si>
  <si>
    <t xml:space="preserve">Ring</t>
  </si>
  <si>
    <t xml:space="preserve">Jewelry</t>
  </si>
  <si>
    <t xml:space="preserve">Amulet</t>
  </si>
  <si>
    <t xml:space="preserve">Prefix:Mp</t>
  </si>
  <si>
    <t xml:space="preserve">Prefix:FlatArmorClass</t>
  </si>
  <si>
    <t xml:space="preserve">Prefix:Accuracy</t>
  </si>
  <si>
    <t xml:space="preserve">Prefix:PercentDamage</t>
  </si>
  <si>
    <t xml:space="preserve">Prefix:LifeSteal</t>
  </si>
  <si>
    <t xml:space="preserve">Prefix:Evasion</t>
  </si>
  <si>
    <t xml:space="preserve">Prefix:ArmorPenetration</t>
  </si>
  <si>
    <t xml:space="preserve">Prefix:Agility</t>
  </si>
  <si>
    <t xml:space="preserve">Suffix:Strength</t>
  </si>
  <si>
    <t xml:space="preserve">Suffix:Spirit</t>
  </si>
  <si>
    <t xml:space="preserve">Suffix:Dexterity</t>
  </si>
  <si>
    <t xml:space="preserve">Suffix:Vitality</t>
  </si>
  <si>
    <t xml:space="preserve">Suffix:Hp</t>
  </si>
  <si>
    <t xml:space="preserve">Suffix:FlatDamage</t>
  </si>
  <si>
    <t xml:space="preserve">Suffix:Durability</t>
  </si>
  <si>
    <t xml:space="preserve">Suffix:PercentArmorClass</t>
  </si>
  <si>
    <t xml:space="preserve">affixType</t>
  </si>
  <si>
    <t xml:space="preserve">maxTier</t>
  </si>
  <si>
    <t xml:space="preserve">FlatDamage</t>
  </si>
  <si>
    <t xml:space="preserve">combatantClass</t>
  </si>
  <si>
    <t xml:space="preserve">Vitality</t>
  </si>
  <si>
    <t xml:space="preserve">Agility</t>
  </si>
  <si>
    <t xml:space="preserve">Speed</t>
  </si>
  <si>
    <t xml:space="preserve">ArmorClass</t>
  </si>
  <si>
    <t xml:space="preserve">ArmorPenetration</t>
  </si>
  <si>
    <t xml:space="preserve">Accuracy</t>
  </si>
  <si>
    <t xml:space="preserve">Evasion</t>
  </si>
  <si>
    <t xml:space="preserve">Hp</t>
  </si>
  <si>
    <t xml:space="preserve">Mp</t>
  </si>
  <si>
    <t xml:space="preserve">monsterType</t>
  </si>
  <si>
    <t xml:space="preserve">Wolf</t>
  </si>
  <si>
    <t xml:space="preserve">FireMage</t>
  </si>
  <si>
    <t xml:space="preserve">Cultist</t>
  </si>
  <si>
    <t xml:space="preserve">MantaRay</t>
  </si>
  <si>
    <t xml:space="preserve">Net</t>
  </si>
  <si>
    <t xml:space="preserve">Spider</t>
  </si>
  <si>
    <t xml:space="preserve">Slime</t>
  </si>
  <si>
    <t xml:space="preserve">Zombie</t>
  </si>
  <si>
    <t xml:space="preserve">SkeletonWarrior</t>
  </si>
  <si>
    <t xml:space="preserve">SkeletonCaptain</t>
  </si>
  <si>
    <t xml:space="preserve">VampireBat</t>
  </si>
  <si>
    <t xml:space="preserve">TyrantRex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</si>
</sst>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41" activeCellId="0" sqref="B4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1.37"/>
    <col collapsed="false" customWidth="true" hidden="false" outlineLevel="0" max="2" min="2" style="1" width="8.07"/>
    <col collapsed="false" customWidth="true" hidden="false" outlineLevel="0" max="3" min="3" style="2" width="8.35"/>
    <col collapsed="false" customWidth="true" hidden="false" outlineLevel="0" max="4" min="4" style="1" width="7.4"/>
    <col collapsed="false" customWidth="true" hidden="false" outlineLevel="0" max="5" min="5" style="1" width="5.59"/>
    <col collapsed="false" customWidth="true" hidden="false" outlineLevel="0" max="6" min="6" style="1" width="10.44"/>
    <col collapsed="false" customWidth="true" hidden="false" outlineLevel="0" max="7" min="7" style="1" width="10.51"/>
    <col collapsed="false" customWidth="true" hidden="false" outlineLevel="0" max="8" min="8" style="1" width="4.92"/>
    <col collapsed="false" customWidth="true" hidden="false" outlineLevel="0" max="9" min="9" style="1" width="7.4"/>
    <col collapsed="false" customWidth="true" hidden="false" outlineLevel="0" max="10" min="10" style="1" width="5.59"/>
    <col collapsed="false" customWidth="true" hidden="false" outlineLevel="0" max="12" min="11" style="1" width="2.44"/>
    <col collapsed="false" customWidth="true" hidden="false" outlineLevel="0" max="13" min="13" style="1" width="3.4"/>
  </cols>
  <sheetData>
    <row r="1" customFormat="false" ht="13.5" hidden="false" customHeight="true" outlineLevel="0" collapsed="false">
      <c r="B1" s="3" t="s">
        <v>0</v>
      </c>
      <c r="C1" s="3"/>
      <c r="D1" s="3"/>
      <c r="E1" s="3"/>
    </row>
    <row r="2" customFormat="false" ht="13.5" hidden="false" customHeight="true" outlineLevel="0" collapsed="false">
      <c r="B2" s="4" t="s">
        <v>1</v>
      </c>
      <c r="C2" s="4" t="s">
        <v>2</v>
      </c>
      <c r="D2" s="4" t="s">
        <v>3</v>
      </c>
      <c r="E2" s="4" t="s">
        <v>4</v>
      </c>
    </row>
    <row r="3" customFormat="false" ht="13.5" hidden="false" customHeight="true" outlineLevel="0" collapsed="false">
      <c r="A3" s="2" t="s">
        <v>5</v>
      </c>
      <c r="C3" s="2" t="n">
        <f aca="false">SUM('equipment-armor'!G24,'equipment-armor'!G30)</f>
        <v>12</v>
      </c>
      <c r="D3" s="2" t="n">
        <f aca="false">SUM('equipment-armor'!G14,'equipment-armor'!G19)</f>
        <v>9</v>
      </c>
      <c r="E3" s="2" t="n">
        <f aca="false">SUM('equipment-armor'!G2,'equipment-armor'!G8)</f>
        <v>5</v>
      </c>
    </row>
    <row r="4" customFormat="false" ht="13.5" hidden="false" customHeight="true" outlineLevel="0" collapsed="false">
      <c r="A4" s="2" t="s">
        <v>6</v>
      </c>
      <c r="B4" s="2" t="n">
        <f aca="false">SUM('equipment-armor'!G35,'equipment-armor'!G40)</f>
        <v>19</v>
      </c>
      <c r="C4" s="2" t="n">
        <f aca="false">SUM('equipment-armor'!G25,'equipment-armor'!G31)</f>
        <v>28</v>
      </c>
      <c r="D4" s="2" t="n">
        <f aca="false">SUM('equipment-armor'!G15,'equipment-armor'!G20)</f>
        <v>12</v>
      </c>
      <c r="E4" s="2" t="n">
        <f aca="false">SUM('equipment-armor'!G3,'equipment-armor'!G9)</f>
        <v>9</v>
      </c>
    </row>
    <row r="5" customFormat="false" ht="13.5" hidden="false" customHeight="true" outlineLevel="0" collapsed="false">
      <c r="A5" s="2" t="s">
        <v>7</v>
      </c>
      <c r="B5" s="2" t="n">
        <f aca="false">SUM('equipment-armor'!G36,'equipment-armor'!G41)</f>
        <v>32</v>
      </c>
      <c r="C5" s="2" t="n">
        <f aca="false">SUM('equipment-armor'!G26,'equipment-armor'!G32)</f>
        <v>35</v>
      </c>
      <c r="D5" s="2" t="n">
        <f aca="false">SUM('equipment-armor'!G16,'equipment-armor'!G21)</f>
        <v>20</v>
      </c>
      <c r="E5" s="2" t="n">
        <f aca="false">SUM('equipment-armor'!G4,'equipment-armor'!G10)</f>
        <v>14</v>
      </c>
    </row>
    <row r="6" customFormat="false" ht="13.5" hidden="false" customHeight="true" outlineLevel="0" collapsed="false">
      <c r="A6" s="2" t="s">
        <v>8</v>
      </c>
      <c r="B6" s="2" t="n">
        <f aca="false">SUM('equipment-armor'!G37,'equipment-armor'!G42)</f>
        <v>43</v>
      </c>
      <c r="C6" s="2" t="n">
        <f aca="false">SUM('equipment-armor'!G27,'equipment-armor'!G33)</f>
        <v>43</v>
      </c>
      <c r="D6" s="2" t="n">
        <f aca="false">SUM('equipment-armor'!G17,'equipment-armor'!G22)</f>
        <v>33</v>
      </c>
      <c r="E6" s="2" t="n">
        <f aca="false">SUM('equipment-armor'!G5,'equipment-armor'!G11)</f>
        <v>13</v>
      </c>
    </row>
    <row r="7" customFormat="false" ht="13.5" hidden="false" customHeight="true" outlineLevel="0" collapsed="false">
      <c r="A7" s="2" t="s">
        <v>9</v>
      </c>
      <c r="B7" s="2" t="n">
        <f aca="false">SUM('equipment-armor'!G38,'equipment-armor'!G43)</f>
        <v>52</v>
      </c>
      <c r="C7" s="2" t="n">
        <f aca="false">SUM('equipment-armor'!G28,'equipment-armor'!G33)</f>
        <v>44</v>
      </c>
      <c r="D7" s="2" t="n">
        <f aca="false">SUM('equipment-armor'!G18,'equipment-armor'!G23)</f>
        <v>0</v>
      </c>
      <c r="E7" s="2" t="n">
        <f aca="false">SUM('equipment-armor'!G6,'equipment-armor'!G12)</f>
        <v>34</v>
      </c>
    </row>
    <row r="8" customFormat="false" ht="13.5" hidden="false" customHeight="true" outlineLevel="0" collapsed="false"/>
    <row r="9" customFormat="false" ht="13.5" hidden="false" customHeight="true" outlineLevel="0" collapsed="false">
      <c r="A9" s="2" t="s">
        <v>10</v>
      </c>
      <c r="B9" s="2" t="n">
        <v>2.5</v>
      </c>
    </row>
    <row r="10" customFormat="false" ht="13.5" hidden="false" customHeight="true" outlineLevel="0" collapsed="false">
      <c r="A10" s="1" t="s">
        <v>11</v>
      </c>
      <c r="B10" s="1" t="n">
        <v>20</v>
      </c>
    </row>
    <row r="11" customFormat="false" ht="13.5" hidden="false" customHeight="true" outlineLevel="0" collapsed="false"/>
    <row r="12" customFormat="false" ht="13.5" hidden="false" customHeight="true" outlineLevel="0" collapsed="false">
      <c r="A12" s="1" t="s">
        <v>12</v>
      </c>
      <c r="B12" s="1" t="s">
        <v>13</v>
      </c>
      <c r="F12" s="2" t="s">
        <v>14</v>
      </c>
      <c r="G12" s="2" t="s">
        <v>1</v>
      </c>
      <c r="H12" s="2" t="s">
        <v>2</v>
      </c>
      <c r="I12" s="2" t="s">
        <v>3</v>
      </c>
      <c r="J12" s="2" t="s">
        <v>4</v>
      </c>
    </row>
    <row r="13" customFormat="false" ht="13.5" hidden="false" customHeight="true" outlineLevel="0" collapsed="false">
      <c r="A13" s="1" t="n">
        <f aca="false">'equipment-shields'!F2</f>
        <v>2</v>
      </c>
      <c r="F13" s="2" t="n">
        <v>5</v>
      </c>
      <c r="G13" s="2"/>
      <c r="H13" s="2" t="n">
        <f aca="false">DAMAGEAFTERAC(F13,C3, ArmorClassModifier)</f>
        <v>2</v>
      </c>
      <c r="I13" s="2" t="n">
        <f aca="false">DAMAGEAFTERAC(F13,D3, ArmorClassModifier)</f>
        <v>2</v>
      </c>
      <c r="J13" s="2" t="n">
        <f aca="false">DAMAGEAFTERAC(F13,E3, ArmorClassModifier)</f>
        <v>3</v>
      </c>
    </row>
    <row r="14" customFormat="false" ht="13.5" hidden="false" customHeight="true" outlineLevel="0" collapsed="false">
      <c r="A14" s="1" t="n">
        <f aca="false">'equipment-shields'!F3</f>
        <v>5</v>
      </c>
      <c r="B14" s="1" t="n">
        <v>4</v>
      </c>
      <c r="F14" s="2" t="n">
        <v>10</v>
      </c>
      <c r="G14" s="2" t="n">
        <f aca="false">DAMAGEAFTERAC(F14,B4, ArmorClassModifier)</f>
        <v>5</v>
      </c>
      <c r="H14" s="2" t="n">
        <f aca="false">DAMAGEAFTERAC(F14,C4, ArmorClassModifier)</f>
        <v>4</v>
      </c>
      <c r="I14" s="2" t="n">
        <f aca="false">DAMAGEAFTERAC(F14,D4, ArmorClassModifier)</f>
        <v>6</v>
      </c>
      <c r="J14" s="2" t="n">
        <f aca="false">DAMAGEAFTERAC(F14,E4, ArmorClassModifier)</f>
        <v>7</v>
      </c>
    </row>
    <row r="15" customFormat="false" ht="13.5" hidden="false" customHeight="true" outlineLevel="0" collapsed="false">
      <c r="A15" s="1" t="n">
        <f aca="false">'equipment-shields'!F4</f>
        <v>14</v>
      </c>
      <c r="F15" s="2" t="n">
        <v>18</v>
      </c>
      <c r="G15" s="2" t="n">
        <f aca="false">DAMAGEAFTERAC(F15,B5, ArmorClassModifier)</f>
        <v>10</v>
      </c>
      <c r="H15" s="2" t="n">
        <f aca="false">DAMAGEAFTERAC(F15,C5, ArmorClassModifier)</f>
        <v>10</v>
      </c>
      <c r="I15" s="2" t="n">
        <f aca="false">DAMAGEAFTERAC(F15,D5, ArmorClassModifier)</f>
        <v>12</v>
      </c>
      <c r="J15" s="2" t="n">
        <f aca="false">DAMAGEAFTERAC(F15,E5, ArmorClassModifier)</f>
        <v>13</v>
      </c>
    </row>
    <row r="16" customFormat="false" ht="13.5" hidden="false" customHeight="true" outlineLevel="0" collapsed="false">
      <c r="A16" s="1" t="n">
        <f aca="false">'equipment-shields'!F5</f>
        <v>13</v>
      </c>
      <c r="B16" s="1" t="n">
        <v>14</v>
      </c>
      <c r="F16" s="2" t="n">
        <v>30</v>
      </c>
      <c r="G16" s="2" t="n">
        <f aca="false">DAMAGEAFTERAC(F16,B6, ArmorClassModifier)</f>
        <v>19</v>
      </c>
      <c r="H16" s="2"/>
      <c r="I16" s="2" t="n">
        <f aca="false">DAMAGEAFTERAC(F16,D6, ArmorClassModifier)</f>
        <v>20</v>
      </c>
      <c r="J16" s="2" t="n">
        <f aca="false">DAMAGEAFTERAC(F16,E6, ArmorClassModifier)</f>
        <v>25</v>
      </c>
    </row>
    <row r="17" customFormat="false" ht="13.5" hidden="false" customHeight="true" outlineLevel="0" collapsed="false">
      <c r="A17" s="1" t="n">
        <f aca="false">'equipment-shields'!F6</f>
        <v>19</v>
      </c>
      <c r="F17" s="2" t="n">
        <v>50</v>
      </c>
      <c r="G17" s="2" t="n">
        <f aca="false">DAMAGEAFTERAC(F17,B7, ArmorClassModifier )</f>
        <v>35</v>
      </c>
      <c r="H17" s="2" t="n">
        <f aca="false">DAMAGEAFTERAC(F17,C7, ArmorClassModifier)</f>
        <v>36</v>
      </c>
      <c r="I17" s="2"/>
      <c r="J17" s="2" t="n">
        <f aca="false">DAMAGEAFTERAC(F17,E7, ArmorClassModifier)</f>
        <v>39</v>
      </c>
    </row>
    <row r="18" customFormat="false" ht="13.5" hidden="false" customHeight="true" outlineLevel="0" collapsed="false">
      <c r="A18" s="1" t="n">
        <f aca="false">'equipment-shields'!F7</f>
        <v>18</v>
      </c>
      <c r="B18" s="1" t="n">
        <v>18</v>
      </c>
    </row>
    <row r="19" customFormat="false" ht="13.5" hidden="false" customHeight="true" outlineLevel="0" collapsed="false">
      <c r="A19" s="1" t="n">
        <f aca="false">'equipment-shields'!F8</f>
        <v>15</v>
      </c>
      <c r="G19" s="1" t="s">
        <v>15</v>
      </c>
    </row>
    <row r="20" customFormat="false" ht="13.5" hidden="false" customHeight="true" outlineLevel="0" collapsed="false">
      <c r="A20" s="1" t="n">
        <f aca="false">'equipment-shields'!F9</f>
        <v>23</v>
      </c>
      <c r="B20" s="1" t="n">
        <v>21</v>
      </c>
      <c r="F20" s="2" t="s">
        <v>14</v>
      </c>
      <c r="G20" s="2" t="s">
        <v>1</v>
      </c>
      <c r="H20" s="2" t="s">
        <v>2</v>
      </c>
      <c r="I20" s="2" t="s">
        <v>3</v>
      </c>
      <c r="J20" s="2" t="s">
        <v>4</v>
      </c>
    </row>
    <row r="21" customFormat="false" ht="13.5" hidden="false" customHeight="true" outlineLevel="0" collapsed="false">
      <c r="A21" s="1" t="n">
        <f aca="false">'equipment-shields'!F10</f>
        <v>28</v>
      </c>
      <c r="F21" s="2" t="n">
        <v>5</v>
      </c>
      <c r="G21" s="2"/>
      <c r="H21" s="2" t="n">
        <f aca="false">DAMAGEAFTERAC(F21,C3+$B$14, ArmorClassModifier)</f>
        <v>2</v>
      </c>
      <c r="I21" s="2" t="n">
        <f aca="false">DAMAGEAFTERAC(F21,D3+$B$14, ArmorClassModifier)</f>
        <v>2</v>
      </c>
      <c r="J21" s="2" t="n">
        <f aca="false">DAMAGEAFTERAC(F21,E3+$B$14, ArmorClassModifier)</f>
        <v>2</v>
      </c>
    </row>
    <row r="22" customFormat="false" ht="13.5" hidden="false" customHeight="true" outlineLevel="0" collapsed="false">
      <c r="A22" s="1" t="n">
        <f aca="false">'equipment-shields'!F11</f>
        <v>24</v>
      </c>
      <c r="F22" s="2" t="n">
        <v>10</v>
      </c>
      <c r="G22" s="2" t="n">
        <f aca="false">DAMAGEAFTERAC(F22,B4+$B$16, ArmorClassModifier)</f>
        <v>4</v>
      </c>
      <c r="H22" s="2" t="n">
        <f aca="false">DAMAGEAFTERAC(F22,C4+$B$16, ArmorClassModifier)</f>
        <v>3</v>
      </c>
      <c r="I22" s="2" t="n">
        <f aca="false">DAMAGEAFTERAC(F22,D4+$B$16, ArmorClassModifier)</f>
        <v>4</v>
      </c>
      <c r="J22" s="2" t="n">
        <f aca="false">DAMAGEAFTERAC(F22,E4+$B$16, ArmorClassModifier)</f>
        <v>5</v>
      </c>
    </row>
    <row r="23" customFormat="false" ht="13.5" hidden="false" customHeight="true" outlineLevel="0" collapsed="false">
      <c r="A23" s="1" t="n">
        <f aca="false">'equipment-shields'!F12</f>
        <v>28</v>
      </c>
      <c r="B23" s="1" t="n">
        <v>26</v>
      </c>
      <c r="F23" s="2" t="n">
        <v>18</v>
      </c>
      <c r="G23" s="2" t="n">
        <f aca="false">DAMAGEAFTERAC(F23,B5+$B$18, ArmorClassModifier)</f>
        <v>8</v>
      </c>
      <c r="H23" s="2" t="n">
        <f aca="false">DAMAGEAFTERAC(F23,C5+$B$18, ArmorClassModifier)</f>
        <v>8</v>
      </c>
      <c r="I23" s="2" t="n">
        <f aca="false">DAMAGEAFTERAC(F23,D5+$B$18, ArmorClassModifier)</f>
        <v>9</v>
      </c>
      <c r="J23" s="2" t="n">
        <f aca="false">DAMAGEAFTERAC(F23,E5+$B$18, ArmorClassModifier)</f>
        <v>10</v>
      </c>
    </row>
    <row r="24" customFormat="false" ht="13.5" hidden="false" customHeight="true" outlineLevel="0" collapsed="false">
      <c r="F24" s="2" t="n">
        <v>30</v>
      </c>
      <c r="G24" s="2" t="n">
        <f aca="false">DAMAGEAFTERAC(F24,B6+$B$20, ArmorClassModifier)</f>
        <v>16</v>
      </c>
      <c r="H24" s="2" t="n">
        <f aca="false">DAMAGEAFTERAC(F24,C6+$B$20, ArmorClassModifier)</f>
        <v>16</v>
      </c>
      <c r="I24" s="2" t="n">
        <f aca="false">DAMAGEAFTERAC(F24,D6+$B$20, ArmorClassModifier)</f>
        <v>17</v>
      </c>
      <c r="J24" s="2" t="n">
        <f aca="false">DAMAGEAFTERAC(F24,E6+$B$20, ArmorClassModifier)</f>
        <v>20</v>
      </c>
    </row>
    <row r="25" customFormat="false" ht="13.5" hidden="false" customHeight="true" outlineLevel="0" collapsed="false">
      <c r="F25" s="2" t="n">
        <v>50</v>
      </c>
      <c r="G25" s="2" t="n">
        <f aca="false">DAMAGEAFTERAC(F25,B7+$B$23, ArmorClassModifier)</f>
        <v>30</v>
      </c>
      <c r="H25" s="2" t="n">
        <f aca="false">DAMAGEAFTERAC(F25,C7+$B$23, ArmorClassModifier)</f>
        <v>32</v>
      </c>
      <c r="J25" s="2" t="n">
        <f aca="false">DAMAGEAFTERAC(F25,E7+$B$23, ArmorClassModifier)</f>
        <v>33</v>
      </c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2.75" hidden="false" customHeight="true" outlineLevel="0" collapsed="false">
      <c r="A28" s="1" t="s">
        <v>16</v>
      </c>
      <c r="B28" s="1" t="n">
        <v>7</v>
      </c>
    </row>
    <row r="29" customFormat="false" ht="12.75" hidden="false" customHeight="true" outlineLevel="0" collapsed="false">
      <c r="A29" s="1" t="s">
        <v>17</v>
      </c>
      <c r="B29" s="1" t="n">
        <v>20</v>
      </c>
    </row>
    <row r="30" customFormat="false" ht="12.75" hidden="false" customHeight="true" outlineLevel="0" collapsed="false">
      <c r="A30" s="1" t="s">
        <v>18</v>
      </c>
      <c r="B30" s="1" t="n">
        <v>2.5</v>
      </c>
    </row>
    <row r="31" customFormat="false" ht="12.75" hidden="false" customHeight="true" outlineLevel="0" collapsed="false">
      <c r="A31" s="1" t="s">
        <v>19</v>
      </c>
      <c r="B31" s="1" t="n">
        <f aca="false">B29*B30</f>
        <v>50</v>
      </c>
    </row>
    <row r="32" customFormat="false" ht="12.75" hidden="false" customHeight="true" outlineLevel="0" collapsed="false">
      <c r="A32" s="1" t="s">
        <v>20</v>
      </c>
      <c r="B32" s="1" t="n">
        <v>5</v>
      </c>
    </row>
    <row r="33" customFormat="false" ht="12.75" hidden="false" customHeight="true" outlineLevel="0" collapsed="false">
      <c r="A33" s="1" t="s">
        <v>21</v>
      </c>
      <c r="B33" s="1" t="n">
        <v>10</v>
      </c>
    </row>
    <row r="34" customFormat="false" ht="12.75" hidden="false" customHeight="true" outlineLevel="0" collapsed="false">
      <c r="A34" s="1" t="s">
        <v>22</v>
      </c>
      <c r="B34" s="1" t="n">
        <f aca="false">(B33-1)*B32</f>
        <v>45</v>
      </c>
    </row>
    <row r="35" customFormat="false" ht="12.75" hidden="false" customHeight="true" outlineLevel="0" collapsed="false">
      <c r="A35" s="1" t="s">
        <v>23</v>
      </c>
      <c r="B35" s="1" t="n">
        <f aca="false">B33/2</f>
        <v>5</v>
      </c>
    </row>
    <row r="36" customFormat="false" ht="12.75" hidden="false" customHeight="true" outlineLevel="0" collapsed="false">
      <c r="A36" s="1" t="s">
        <v>24</v>
      </c>
      <c r="B36" s="1" t="n">
        <v>2</v>
      </c>
    </row>
    <row r="37" customFormat="false" ht="12.75" hidden="false" customHeight="true" outlineLevel="0" collapsed="false">
      <c r="A37" s="1" t="s">
        <v>25</v>
      </c>
      <c r="B37" s="1" t="n">
        <f aca="false">B36*B35</f>
        <v>10</v>
      </c>
    </row>
    <row r="38" customFormat="false" ht="12.75" hidden="false" customHeight="true" outlineLevel="0" collapsed="false">
      <c r="A38" s="1" t="s">
        <v>26</v>
      </c>
      <c r="B38" s="1" t="n">
        <f aca="false">B37+B34</f>
        <v>55</v>
      </c>
    </row>
    <row r="39" customFormat="false" ht="13.5" hidden="false" customHeight="true" outlineLevel="0" collapsed="false">
      <c r="A39" s="1" t="s">
        <v>27</v>
      </c>
      <c r="B39" s="1" t="n">
        <f aca="false">B29*B28</f>
        <v>140</v>
      </c>
    </row>
    <row r="40" customFormat="false" ht="13.5" hidden="false" customHeight="true" outlineLevel="0" collapsed="false">
      <c r="A40" s="1" t="s">
        <v>28</v>
      </c>
      <c r="B40" s="1" t="e">
        <f aca="false">#REF!</f>
        <v>#REF!</v>
      </c>
    </row>
    <row r="41" customFormat="false" ht="13.5" hidden="false" customHeight="true" outlineLevel="0" collapsed="false">
      <c r="A41" s="1" t="s">
        <v>29</v>
      </c>
      <c r="B41" s="1" t="e">
        <f aca="false">B39+B38+B40</f>
        <v>#REF!</v>
      </c>
    </row>
    <row r="42" customFormat="false" ht="12.75" hidden="false" customHeight="true" outlineLevel="0" collapsed="false">
      <c r="A42" s="1" t="s">
        <v>30</v>
      </c>
      <c r="B42" s="1" t="n">
        <v>0.35</v>
      </c>
      <c r="C42" s="1"/>
    </row>
    <row r="43" customFormat="false" ht="12.75" hidden="false" customHeight="true" outlineLevel="0" collapsed="false">
      <c r="A43" s="1" t="s">
        <v>31</v>
      </c>
      <c r="B43" s="1" t="e">
        <f aca="false">B42*B41</f>
        <v>#REF!</v>
      </c>
      <c r="C43" s="1"/>
    </row>
    <row r="44" customFormat="false" ht="12.75" hidden="false" customHeight="true" outlineLevel="0" collapsed="false">
      <c r="C44" s="1"/>
    </row>
    <row r="45" customFormat="false" ht="12.75" hidden="false" customHeight="true" outlineLevel="0" collapsed="false">
      <c r="C45" s="1"/>
    </row>
    <row r="46" customFormat="false" ht="12.75" hidden="false" customHeight="true" outlineLevel="0" collapsed="false">
      <c r="C46" s="1"/>
    </row>
    <row r="47" customFormat="false" ht="12.75" hidden="false" customHeight="true" outlineLevel="0" collapsed="false">
      <c r="C47" s="1"/>
    </row>
    <row r="48" customFormat="false" ht="12.75" hidden="false" customHeight="true" outlineLevel="0" collapsed="false">
      <c r="C48" s="1"/>
    </row>
    <row r="49" customFormat="false" ht="12.75" hidden="false" customHeight="true" outlineLevel="0" collapsed="false">
      <c r="C49" s="1"/>
    </row>
    <row r="50" customFormat="false" ht="12.75" hidden="false" customHeight="true" outlineLevel="0" collapsed="false">
      <c r="C50" s="1"/>
    </row>
    <row r="51" customFormat="false" ht="12.75" hidden="false" customHeight="true" outlineLevel="0" collapsed="false">
      <c r="C51" s="1"/>
    </row>
    <row r="52" customFormat="false" ht="12.75" hidden="false" customHeight="true" outlineLevel="0" collapsed="false">
      <c r="C52" s="1"/>
    </row>
    <row r="53" customFormat="false" ht="12.75" hidden="false" customHeight="true" outlineLevel="0" collapsed="false">
      <c r="C53" s="1"/>
    </row>
    <row r="54" customFormat="false" ht="12.75" hidden="false" customHeight="true" outlineLevel="0" collapsed="false">
      <c r="C54" s="1"/>
    </row>
    <row r="55" customFormat="false" ht="12.75" hidden="false" customHeight="true" outlineLevel="0" collapsed="false">
      <c r="C55" s="1"/>
    </row>
    <row r="56" customFormat="false" ht="12.75" hidden="false" customHeight="true" outlineLevel="0" collapsed="false">
      <c r="C56" s="1"/>
    </row>
    <row r="57" customFormat="false" ht="12.75" hidden="false" customHeight="true" outlineLevel="0" collapsed="false">
      <c r="C57" s="1"/>
    </row>
    <row r="58" customFormat="false" ht="12.75" hidden="false" customHeight="true" outlineLevel="0" collapsed="false">
      <c r="C58" s="1"/>
    </row>
    <row r="59" customFormat="false" ht="12.75" hidden="false" customHeight="true" outlineLevel="0" collapsed="false">
      <c r="C59" s="1"/>
    </row>
    <row r="60" customFormat="false" ht="12.75" hidden="false" customHeight="true" outlineLevel="0" collapsed="false">
      <c r="C60" s="1"/>
    </row>
    <row r="61" customFormat="false" ht="12.75" hidden="false" customHeight="true" outlineLevel="0" collapsed="false">
      <c r="C61" s="1"/>
    </row>
    <row r="62" customFormat="false" ht="12.75" hidden="false" customHeight="true" outlineLevel="0" collapsed="false">
      <c r="C62" s="1"/>
    </row>
    <row r="63" customFormat="false" ht="12.75" hidden="false" customHeight="true" outlineLevel="0" collapsed="false">
      <c r="C63" s="1"/>
    </row>
    <row r="64" customFormat="false" ht="12.75" hidden="false" customHeight="true" outlineLevel="0" collapsed="false">
      <c r="C64" s="1"/>
    </row>
    <row r="65" customFormat="false" ht="12.75" hidden="false" customHeight="true" outlineLevel="0" collapsed="false">
      <c r="C65" s="1"/>
    </row>
    <row r="66" customFormat="false" ht="12.75" hidden="false" customHeight="true" outlineLevel="0" collapsed="false">
      <c r="C66" s="1"/>
    </row>
    <row r="67" customFormat="false" ht="12.75" hidden="false" customHeight="true" outlineLevel="0" collapsed="false">
      <c r="C67" s="1"/>
    </row>
    <row r="68" customFormat="false" ht="12.75" hidden="false" customHeight="true" outlineLevel="0" collapsed="false">
      <c r="C68" s="1"/>
    </row>
    <row r="69" customFormat="false" ht="12.75" hidden="false" customHeight="true" outlineLevel="0" collapsed="false">
      <c r="C69" s="1"/>
    </row>
    <row r="70" customFormat="false" ht="12.75" hidden="false" customHeight="true" outlineLevel="0" collapsed="false">
      <c r="C70" s="1"/>
    </row>
    <row r="71" customFormat="false" ht="12.75" hidden="false" customHeight="true" outlineLevel="0" collapsed="false">
      <c r="C71" s="1"/>
    </row>
    <row r="72" customFormat="false" ht="12.75" hidden="false" customHeight="true" outlineLevel="0" collapsed="false">
      <c r="C72" s="1"/>
    </row>
    <row r="73" customFormat="false" ht="12.75" hidden="false" customHeight="true" outlineLevel="0" collapsed="false">
      <c r="C73" s="1"/>
    </row>
    <row r="74" customFormat="false" ht="12.75" hidden="false" customHeight="true" outlineLevel="0" collapsed="false">
      <c r="C74" s="1"/>
    </row>
    <row r="75" customFormat="false" ht="12.75" hidden="false" customHeight="true" outlineLevel="0" collapsed="false">
      <c r="C75" s="1"/>
    </row>
    <row r="76" customFormat="false" ht="12.75" hidden="false" customHeight="true" outlineLevel="0" collapsed="false">
      <c r="C76" s="1"/>
    </row>
    <row r="77" customFormat="false" ht="12.75" hidden="false" customHeight="true" outlineLevel="0" collapsed="false">
      <c r="C77" s="1"/>
    </row>
    <row r="78" customFormat="false" ht="12.75" hidden="false" customHeight="true" outlineLevel="0" collapsed="false">
      <c r="C78" s="1"/>
    </row>
    <row r="79" customFormat="false" ht="12.75" hidden="false" customHeight="true" outlineLevel="0" collapsed="false">
      <c r="C79" s="1"/>
    </row>
    <row r="80" customFormat="false" ht="12.75" hidden="false" customHeight="true" outlineLevel="0" collapsed="false">
      <c r="C80" s="1"/>
    </row>
    <row r="81" customFormat="false" ht="12.75" hidden="false" customHeight="true" outlineLevel="0" collapsed="false">
      <c r="C81" s="1"/>
    </row>
    <row r="82" customFormat="false" ht="12.75" hidden="false" customHeight="true" outlineLevel="0" collapsed="false">
      <c r="C82" s="1"/>
    </row>
  </sheetData>
  <mergeCells count="1">
    <mergeCell ref="B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55" activePane="bottomLeft" state="frozen"/>
      <selection pane="topLeft" activeCell="A1" activeCellId="0" sqref="A1"/>
      <selection pane="bottomLeft" activeCell="I50" activeCellId="0" sqref="I50"/>
    </sheetView>
  </sheetViews>
  <sheetFormatPr defaultColWidth="11.55078125" defaultRowHeight="13.8" zeroHeight="false" outlineLevelRow="0" outlineLevelCol="0"/>
  <cols>
    <col collapsed="false" customWidth="true" hidden="false" outlineLevel="0" max="1" min="1" style="2" width="16.43"/>
    <col collapsed="false" customWidth="true" hidden="false" outlineLevel="0" max="2" min="2" style="2" width="14.94"/>
    <col collapsed="false" customWidth="true" hidden="false" outlineLevel="0" max="3" min="3" style="2" width="17.46"/>
    <col collapsed="false" customWidth="true" hidden="false" outlineLevel="0" max="5" min="4" style="2" width="15.94"/>
    <col collapsed="false" customWidth="true" hidden="false" outlineLevel="0" max="6" min="6" style="2" width="16.56"/>
    <col collapsed="false" customWidth="true" hidden="false" outlineLevel="0" max="7" min="7" style="2" width="9.18"/>
    <col collapsed="false" customWidth="true" hidden="false" outlineLevel="0" max="8" min="8" style="2" width="11.38"/>
    <col collapsed="false" customWidth="true" hidden="false" outlineLevel="0" max="9" min="9" style="2" width="17.51"/>
    <col collapsed="false" customWidth="true" hidden="false" outlineLevel="0" max="10" min="10" style="2" width="9.54"/>
    <col collapsed="false" customWidth="true" hidden="false" outlineLevel="0" max="11" min="11" style="2" width="6.77"/>
    <col collapsed="false" customWidth="true" hidden="false" outlineLevel="0" max="12" min="12" style="2" width="7.62"/>
    <col collapsed="false" customWidth="true" hidden="false" outlineLevel="0" max="13" min="13" style="2" width="7.17"/>
    <col collapsed="false" customWidth="true" hidden="false" outlineLevel="0" max="14" min="14" style="2" width="6.77"/>
    <col collapsed="false" customWidth="true" hidden="false" outlineLevel="0" max="15" min="15" style="2" width="7.11"/>
    <col collapsed="false" customWidth="false" hidden="false" outlineLevel="0" max="16" min="16" style="2" width="11.55"/>
  </cols>
  <sheetData>
    <row r="1" customFormat="false" ht="15" hidden="false" customHeight="true" outlineLevel="0" collapsed="false">
      <c r="A1" s="5" t="s">
        <v>32</v>
      </c>
      <c r="B1" s="5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5"/>
      <c r="K1" s="5"/>
      <c r="L1" s="5"/>
      <c r="M1" s="5"/>
      <c r="N1" s="5"/>
      <c r="O1" s="5"/>
      <c r="P1" s="5"/>
    </row>
    <row r="2" customFormat="false" ht="13.5" hidden="false" customHeight="true" outlineLevel="0" collapsed="false">
      <c r="A2" s="2" t="s">
        <v>41</v>
      </c>
      <c r="B2" s="2" t="s">
        <v>42</v>
      </c>
      <c r="G2" s="6"/>
      <c r="H2" s="6"/>
    </row>
    <row r="3" customFormat="false" ht="13.5" hidden="false" customHeight="true" outlineLevel="0" collapsed="false">
      <c r="A3" s="2" t="s">
        <v>43</v>
      </c>
      <c r="B3" s="2" t="s">
        <v>42</v>
      </c>
      <c r="C3" s="2" t="s">
        <v>44</v>
      </c>
      <c r="D3" s="2" t="s">
        <v>45</v>
      </c>
      <c r="E3" s="2" t="s">
        <v>46</v>
      </c>
      <c r="F3" s="2" t="s">
        <v>12</v>
      </c>
      <c r="G3" s="6" t="s">
        <v>47</v>
      </c>
      <c r="H3" s="2" t="s">
        <v>48</v>
      </c>
      <c r="I3" s="2" t="n">
        <v>0.5</v>
      </c>
      <c r="M3" s="6"/>
      <c r="P3" s="7"/>
    </row>
    <row r="4" customFormat="false" ht="13.5" hidden="false" customHeight="true" outlineLevel="0" collapsed="false">
      <c r="A4" s="2" t="s">
        <v>49</v>
      </c>
      <c r="B4" s="2" t="s">
        <v>42</v>
      </c>
      <c r="C4" s="2" t="s">
        <v>44</v>
      </c>
      <c r="D4" s="2" t="s">
        <v>45</v>
      </c>
      <c r="E4" s="2" t="s">
        <v>46</v>
      </c>
      <c r="F4" s="2" t="s">
        <v>12</v>
      </c>
      <c r="G4" s="6" t="s">
        <v>47</v>
      </c>
      <c r="H4" s="2" t="s">
        <v>48</v>
      </c>
      <c r="I4" s="2" t="n">
        <v>0.5</v>
      </c>
      <c r="M4" s="6"/>
    </row>
    <row r="5" customFormat="false" ht="13.5" hidden="false" customHeight="true" outlineLevel="0" collapsed="false">
      <c r="A5" s="2" t="s">
        <v>50</v>
      </c>
      <c r="B5" s="2" t="s">
        <v>42</v>
      </c>
      <c r="C5" s="2" t="s">
        <v>44</v>
      </c>
      <c r="D5" s="2" t="s">
        <v>45</v>
      </c>
      <c r="E5" s="2" t="s">
        <v>46</v>
      </c>
      <c r="F5" s="2" t="s">
        <v>12</v>
      </c>
      <c r="G5" s="6" t="s">
        <v>47</v>
      </c>
      <c r="H5" s="2" t="s">
        <v>48</v>
      </c>
      <c r="I5" s="2" t="n">
        <v>0.5</v>
      </c>
      <c r="M5" s="6"/>
    </row>
    <row r="6" customFormat="false" ht="13.5" hidden="false" customHeight="true" outlineLevel="0" collapsed="false">
      <c r="A6" s="2" t="s">
        <v>51</v>
      </c>
      <c r="B6" s="2" t="s">
        <v>42</v>
      </c>
      <c r="C6" s="2" t="s">
        <v>44</v>
      </c>
      <c r="D6" s="2" t="s">
        <v>45</v>
      </c>
      <c r="E6" s="2" t="s">
        <v>46</v>
      </c>
      <c r="F6" s="2" t="s">
        <v>12</v>
      </c>
      <c r="G6" s="6" t="s">
        <v>47</v>
      </c>
      <c r="H6" s="2" t="s">
        <v>48</v>
      </c>
      <c r="I6" s="2" t="n">
        <v>0.5</v>
      </c>
      <c r="M6" s="6"/>
    </row>
    <row r="7" customFormat="false" ht="13.5" hidden="false" customHeight="true" outlineLevel="0" collapsed="false"/>
    <row r="8" customFormat="false" ht="13.5" hidden="false" customHeight="true" outlineLevel="0" collapsed="false">
      <c r="A8" s="2" t="s">
        <v>52</v>
      </c>
      <c r="B8" s="2" t="s">
        <v>53</v>
      </c>
    </row>
    <row r="9" customFormat="false" ht="13.5" hidden="false" customHeight="true" outlineLevel="0" collapsed="false">
      <c r="A9" s="2" t="s">
        <v>54</v>
      </c>
      <c r="B9" s="2" t="s">
        <v>53</v>
      </c>
      <c r="C9" s="2" t="s">
        <v>44</v>
      </c>
      <c r="D9" s="2" t="s">
        <v>45</v>
      </c>
      <c r="E9" s="2" t="s">
        <v>46</v>
      </c>
      <c r="F9" s="2" t="s">
        <v>12</v>
      </c>
      <c r="G9" s="6" t="s">
        <v>47</v>
      </c>
      <c r="H9" s="2" t="s">
        <v>48</v>
      </c>
      <c r="I9" s="2" t="n">
        <v>0.5</v>
      </c>
    </row>
    <row r="10" customFormat="false" ht="13.5" hidden="false" customHeight="true" outlineLevel="0" collapsed="false">
      <c r="A10" s="2" t="s">
        <v>55</v>
      </c>
      <c r="B10" s="2" t="s">
        <v>53</v>
      </c>
      <c r="C10" s="2" t="s">
        <v>44</v>
      </c>
      <c r="D10" s="2" t="s">
        <v>45</v>
      </c>
      <c r="E10" s="2" t="s">
        <v>46</v>
      </c>
      <c r="F10" s="2" t="s">
        <v>12</v>
      </c>
      <c r="G10" s="6" t="s">
        <v>47</v>
      </c>
      <c r="H10" s="2" t="s">
        <v>48</v>
      </c>
      <c r="I10" s="2" t="n">
        <v>0.5</v>
      </c>
    </row>
    <row r="11" customFormat="false" ht="13.5" hidden="false" customHeight="true" outlineLevel="0" collapsed="false">
      <c r="A11" s="2" t="s">
        <v>56</v>
      </c>
      <c r="B11" s="2" t="s">
        <v>53</v>
      </c>
      <c r="C11" s="2" t="s">
        <v>44</v>
      </c>
      <c r="D11" s="2" t="s">
        <v>45</v>
      </c>
      <c r="E11" s="2" t="s">
        <v>46</v>
      </c>
      <c r="F11" s="2" t="s">
        <v>12</v>
      </c>
      <c r="G11" s="6" t="s">
        <v>47</v>
      </c>
      <c r="H11" s="2" t="s">
        <v>48</v>
      </c>
      <c r="I11" s="2" t="n">
        <v>0.5</v>
      </c>
    </row>
    <row r="12" customFormat="false" ht="13.5" hidden="false" customHeight="true" outlineLevel="0" collapsed="false">
      <c r="A12" s="2" t="s">
        <v>57</v>
      </c>
      <c r="B12" s="2" t="s">
        <v>53</v>
      </c>
      <c r="C12" s="2" t="s">
        <v>44</v>
      </c>
      <c r="D12" s="2" t="s">
        <v>45</v>
      </c>
      <c r="E12" s="2" t="s">
        <v>46</v>
      </c>
      <c r="F12" s="2" t="s">
        <v>12</v>
      </c>
      <c r="G12" s="6" t="s">
        <v>47</v>
      </c>
      <c r="H12" s="2" t="s">
        <v>48</v>
      </c>
      <c r="I12" s="2" t="n">
        <v>0.66</v>
      </c>
    </row>
    <row r="13" customFormat="false" ht="13.5" hidden="false" customHeight="true" outlineLevel="0" collapsed="false"/>
    <row r="14" customFormat="false" ht="13.5" hidden="false" customHeight="true" outlineLevel="0" collapsed="false">
      <c r="A14" s="2" t="s">
        <v>58</v>
      </c>
      <c r="B14" s="2" t="s">
        <v>42</v>
      </c>
      <c r="C14" s="2" t="s">
        <v>59</v>
      </c>
      <c r="D14" s="2" t="s">
        <v>60</v>
      </c>
      <c r="E14" s="2" t="s">
        <v>61</v>
      </c>
      <c r="F14" s="2" t="s">
        <v>62</v>
      </c>
      <c r="G14" s="6" t="s">
        <v>48</v>
      </c>
      <c r="H14" s="6" t="s">
        <v>63</v>
      </c>
      <c r="I14" s="2" t="n">
        <v>0.5</v>
      </c>
      <c r="L14" s="6"/>
    </row>
    <row r="15" customFormat="false" ht="13.5" hidden="false" customHeight="true" outlineLevel="0" collapsed="false">
      <c r="A15" s="2" t="s">
        <v>64</v>
      </c>
      <c r="B15" s="2" t="s">
        <v>42</v>
      </c>
      <c r="C15" s="2" t="s">
        <v>59</v>
      </c>
      <c r="D15" s="2" t="s">
        <v>60</v>
      </c>
      <c r="E15" s="2" t="s">
        <v>61</v>
      </c>
      <c r="F15" s="2" t="s">
        <v>62</v>
      </c>
      <c r="G15" s="6" t="s">
        <v>48</v>
      </c>
      <c r="H15" s="6" t="s">
        <v>63</v>
      </c>
      <c r="I15" s="2" t="n">
        <v>0.4</v>
      </c>
      <c r="K15" s="6"/>
      <c r="L15" s="6"/>
    </row>
    <row r="16" customFormat="false" ht="13.5" hidden="false" customHeight="true" outlineLevel="0" collapsed="false">
      <c r="A16" s="2" t="s">
        <v>65</v>
      </c>
      <c r="B16" s="2" t="s">
        <v>42</v>
      </c>
      <c r="C16" s="2" t="s">
        <v>59</v>
      </c>
      <c r="D16" s="2" t="s">
        <v>60</v>
      </c>
      <c r="E16" s="2" t="s">
        <v>61</v>
      </c>
      <c r="F16" s="2" t="s">
        <v>62</v>
      </c>
      <c r="G16" s="6" t="s">
        <v>48</v>
      </c>
      <c r="H16" s="6" t="s">
        <v>63</v>
      </c>
      <c r="I16" s="2" t="n">
        <v>0.5</v>
      </c>
      <c r="L16" s="6"/>
    </row>
    <row r="17" customFormat="false" ht="13.5" hidden="false" customHeight="true" outlineLevel="0" collapsed="false">
      <c r="A17" s="2" t="s">
        <v>66</v>
      </c>
      <c r="B17" s="2" t="s">
        <v>42</v>
      </c>
      <c r="C17" s="2" t="s">
        <v>59</v>
      </c>
      <c r="D17" s="2" t="s">
        <v>60</v>
      </c>
      <c r="E17" s="2" t="s">
        <v>61</v>
      </c>
      <c r="F17" s="2" t="s">
        <v>62</v>
      </c>
      <c r="G17" s="6" t="s">
        <v>48</v>
      </c>
      <c r="H17" s="6" t="s">
        <v>63</v>
      </c>
      <c r="I17" s="2" t="n">
        <v>0.5</v>
      </c>
      <c r="L17" s="7"/>
      <c r="M17" s="7"/>
    </row>
    <row r="18" customFormat="false" ht="13.5" hidden="false" customHeight="true" outlineLevel="0" collapsed="false"/>
    <row r="19" customFormat="false" ht="13.5" hidden="false" customHeight="true" outlineLevel="0" collapsed="false">
      <c r="A19" s="2" t="s">
        <v>67</v>
      </c>
      <c r="B19" s="2" t="s">
        <v>53</v>
      </c>
      <c r="C19" s="2" t="s">
        <v>59</v>
      </c>
      <c r="D19" s="2" t="s">
        <v>60</v>
      </c>
      <c r="E19" s="2" t="s">
        <v>61</v>
      </c>
      <c r="F19" s="2" t="s">
        <v>62</v>
      </c>
      <c r="G19" s="6" t="s">
        <v>48</v>
      </c>
      <c r="H19" s="6" t="s">
        <v>63</v>
      </c>
      <c r="I19" s="2" t="n">
        <v>0</v>
      </c>
    </row>
    <row r="20" customFormat="false" ht="13.5" hidden="false" customHeight="true" outlineLevel="0" collapsed="false">
      <c r="A20" s="2" t="s">
        <v>68</v>
      </c>
      <c r="B20" s="2" t="s">
        <v>53</v>
      </c>
      <c r="C20" s="2" t="s">
        <v>59</v>
      </c>
      <c r="D20" s="2" t="s">
        <v>60</v>
      </c>
      <c r="E20" s="2" t="s">
        <v>61</v>
      </c>
      <c r="F20" s="2" t="s">
        <v>62</v>
      </c>
      <c r="G20" s="6" t="s">
        <v>48</v>
      </c>
      <c r="H20" s="6" t="s">
        <v>63</v>
      </c>
      <c r="I20" s="2" t="n">
        <v>0.33</v>
      </c>
    </row>
    <row r="21" customFormat="false" ht="13.5" hidden="false" customHeight="true" outlineLevel="0" collapsed="false">
      <c r="A21" s="2" t="s">
        <v>69</v>
      </c>
      <c r="B21" s="2" t="s">
        <v>53</v>
      </c>
      <c r="C21" s="2" t="s">
        <v>59</v>
      </c>
      <c r="D21" s="2" t="s">
        <v>60</v>
      </c>
      <c r="E21" s="2" t="s">
        <v>61</v>
      </c>
      <c r="F21" s="2" t="s">
        <v>62</v>
      </c>
      <c r="G21" s="6" t="s">
        <v>48</v>
      </c>
      <c r="H21" s="6" t="s">
        <v>63</v>
      </c>
      <c r="I21" s="2" t="n">
        <v>0.5</v>
      </c>
    </row>
    <row r="22" customFormat="false" ht="13.5" hidden="false" customHeight="true" outlineLevel="0" collapsed="false">
      <c r="A22" s="2" t="s">
        <v>70</v>
      </c>
      <c r="B22" s="2" t="s">
        <v>53</v>
      </c>
      <c r="C22" s="2" t="s">
        <v>59</v>
      </c>
      <c r="D22" s="2" t="s">
        <v>60</v>
      </c>
      <c r="E22" s="2" t="s">
        <v>61</v>
      </c>
      <c r="F22" s="2" t="s">
        <v>62</v>
      </c>
      <c r="G22" s="6" t="s">
        <v>48</v>
      </c>
      <c r="H22" s="6" t="s">
        <v>63</v>
      </c>
      <c r="I22" s="2" t="n">
        <v>0.5</v>
      </c>
    </row>
    <row r="23" customFormat="false" ht="13.5" hidden="false" customHeight="true" outlineLevel="0" collapsed="false"/>
    <row r="24" customFormat="false" ht="13.5" hidden="false" customHeight="true" outlineLevel="0" collapsed="false">
      <c r="A24" s="2" t="s">
        <v>71</v>
      </c>
      <c r="B24" s="2" t="s">
        <v>42</v>
      </c>
      <c r="C24" s="2" t="s">
        <v>59</v>
      </c>
      <c r="D24" s="2" t="s">
        <v>60</v>
      </c>
      <c r="E24" s="2" t="s">
        <v>72</v>
      </c>
      <c r="F24" s="2" t="s">
        <v>73</v>
      </c>
      <c r="G24" s="6" t="s">
        <v>63</v>
      </c>
      <c r="H24" s="6" t="s">
        <v>48</v>
      </c>
      <c r="I24" s="2" t="n">
        <v>0</v>
      </c>
      <c r="K24" s="6"/>
      <c r="M24" s="6"/>
    </row>
    <row r="25" customFormat="false" ht="13.5" hidden="false" customHeight="true" outlineLevel="0" collapsed="false">
      <c r="A25" s="2" t="s">
        <v>71</v>
      </c>
      <c r="B25" s="2" t="s">
        <v>42</v>
      </c>
      <c r="C25" s="2" t="s">
        <v>44</v>
      </c>
      <c r="D25" s="2" t="s">
        <v>45</v>
      </c>
      <c r="E25" s="2" t="s">
        <v>46</v>
      </c>
      <c r="F25" s="2" t="s">
        <v>12</v>
      </c>
      <c r="G25" s="6" t="s">
        <v>47</v>
      </c>
      <c r="H25" s="2" t="s">
        <v>48</v>
      </c>
      <c r="I25" s="2" t="n">
        <v>0.25</v>
      </c>
      <c r="K25" s="6"/>
      <c r="M25" s="6"/>
    </row>
    <row r="26" customFormat="false" ht="13.5" hidden="false" customHeight="true" outlineLevel="0" collapsed="false">
      <c r="A26" s="2" t="s">
        <v>74</v>
      </c>
      <c r="B26" s="2" t="s">
        <v>42</v>
      </c>
      <c r="C26" s="2" t="s">
        <v>59</v>
      </c>
      <c r="D26" s="2" t="s">
        <v>60</v>
      </c>
      <c r="E26" s="2" t="s">
        <v>75</v>
      </c>
      <c r="F26" s="2" t="s">
        <v>12</v>
      </c>
      <c r="G26" s="6" t="s">
        <v>47</v>
      </c>
      <c r="H26" s="6" t="s">
        <v>48</v>
      </c>
      <c r="I26" s="2" t="n">
        <v>0.33</v>
      </c>
      <c r="K26" s="6"/>
      <c r="M26" s="6"/>
    </row>
    <row r="27" customFormat="false" ht="13.5" hidden="false" customHeight="true" outlineLevel="0" collapsed="false">
      <c r="A27" s="2" t="s">
        <v>76</v>
      </c>
      <c r="B27" s="2" t="s">
        <v>42</v>
      </c>
      <c r="C27" s="2" t="s">
        <v>44</v>
      </c>
      <c r="D27" s="2" t="s">
        <v>45</v>
      </c>
      <c r="E27" s="2" t="s">
        <v>46</v>
      </c>
      <c r="F27" s="2" t="s">
        <v>12</v>
      </c>
      <c r="G27" s="6" t="s">
        <v>47</v>
      </c>
      <c r="H27" s="2" t="s">
        <v>48</v>
      </c>
      <c r="I27" s="2" t="n">
        <v>0.25</v>
      </c>
      <c r="K27" s="6"/>
      <c r="L27" s="6"/>
    </row>
    <row r="28" customFormat="false" ht="13.5" hidden="false" customHeight="true" outlineLevel="0" collapsed="false">
      <c r="A28" s="2" t="s">
        <v>76</v>
      </c>
      <c r="B28" s="2" t="s">
        <v>42</v>
      </c>
      <c r="C28" s="2" t="s">
        <v>59</v>
      </c>
      <c r="D28" s="2" t="s">
        <v>60</v>
      </c>
      <c r="E28" s="2" t="s">
        <v>75</v>
      </c>
      <c r="F28" s="2" t="s">
        <v>12</v>
      </c>
      <c r="G28" s="6" t="s">
        <v>47</v>
      </c>
      <c r="H28" s="6" t="s">
        <v>48</v>
      </c>
      <c r="I28" s="2" t="n">
        <v>0.5</v>
      </c>
      <c r="L28" s="6"/>
    </row>
    <row r="29" customFormat="false" ht="13.5" hidden="false" customHeight="true" outlineLevel="0" collapsed="false">
      <c r="A29" s="2" t="s">
        <v>77</v>
      </c>
      <c r="B29" s="2" t="s">
        <v>42</v>
      </c>
      <c r="C29" s="2" t="s">
        <v>44</v>
      </c>
      <c r="D29" s="2" t="s">
        <v>45</v>
      </c>
      <c r="E29" s="2" t="s">
        <v>46</v>
      </c>
      <c r="F29" s="2" t="s">
        <v>12</v>
      </c>
      <c r="G29" s="6" t="s">
        <v>47</v>
      </c>
      <c r="H29" s="2" t="s">
        <v>48</v>
      </c>
      <c r="I29" s="2" t="n">
        <v>0.66</v>
      </c>
      <c r="L29" s="6"/>
    </row>
    <row r="30" customFormat="false" ht="13.5" hidden="false" customHeight="true" outlineLevel="0" collapsed="false">
      <c r="A30" s="2" t="s">
        <v>77</v>
      </c>
      <c r="B30" s="2" t="s">
        <v>42</v>
      </c>
      <c r="C30" s="2" t="s">
        <v>59</v>
      </c>
      <c r="D30" s="2" t="s">
        <v>60</v>
      </c>
      <c r="E30" s="2" t="s">
        <v>61</v>
      </c>
      <c r="F30" s="2" t="s">
        <v>12</v>
      </c>
      <c r="G30" s="6" t="s">
        <v>47</v>
      </c>
      <c r="H30" s="6" t="s">
        <v>48</v>
      </c>
      <c r="I30" s="2" t="n">
        <v>0.66</v>
      </c>
      <c r="L30" s="6"/>
      <c r="M30" s="6"/>
    </row>
    <row r="31" customFormat="false" ht="13.5" hidden="false" customHeight="true" outlineLevel="0" collapsed="false">
      <c r="A31" s="2" t="s">
        <v>78</v>
      </c>
      <c r="B31" s="2" t="s">
        <v>42</v>
      </c>
      <c r="C31" s="2" t="s">
        <v>59</v>
      </c>
      <c r="D31" s="2" t="s">
        <v>60</v>
      </c>
      <c r="E31" s="2" t="s">
        <v>75</v>
      </c>
      <c r="F31" s="2" t="s">
        <v>12</v>
      </c>
      <c r="G31" s="6" t="s">
        <v>47</v>
      </c>
      <c r="H31" s="6" t="s">
        <v>48</v>
      </c>
      <c r="I31" s="2" t="n">
        <v>0.5</v>
      </c>
      <c r="L31" s="6"/>
      <c r="M31" s="6"/>
    </row>
    <row r="32" customFormat="false" ht="13.5" hidden="false" customHeight="true" outlineLevel="0" collapsed="false"/>
    <row r="33" customFormat="false" ht="13.5" hidden="false" customHeight="true" outlineLevel="0" collapsed="false">
      <c r="A33" s="2" t="s">
        <v>79</v>
      </c>
      <c r="B33" s="2" t="s">
        <v>53</v>
      </c>
    </row>
    <row r="34" customFormat="false" ht="13.5" hidden="false" customHeight="true" outlineLevel="0" collapsed="false">
      <c r="A34" s="2" t="s">
        <v>80</v>
      </c>
      <c r="B34" s="2" t="s">
        <v>53</v>
      </c>
      <c r="C34" s="2" t="s">
        <v>59</v>
      </c>
      <c r="D34" s="2" t="s">
        <v>60</v>
      </c>
      <c r="E34" s="2" t="s">
        <v>75</v>
      </c>
      <c r="F34" s="2" t="s">
        <v>12</v>
      </c>
      <c r="G34" s="6" t="s">
        <v>47</v>
      </c>
      <c r="H34" s="6" t="s">
        <v>48</v>
      </c>
      <c r="I34" s="2" t="n">
        <v>0.33</v>
      </c>
    </row>
    <row r="35" customFormat="false" ht="13.5" hidden="false" customHeight="true" outlineLevel="0" collapsed="false">
      <c r="A35" s="2" t="s">
        <v>81</v>
      </c>
      <c r="B35" s="2" t="s">
        <v>53</v>
      </c>
      <c r="C35" s="2" t="s">
        <v>44</v>
      </c>
      <c r="D35" s="2" t="s">
        <v>45</v>
      </c>
      <c r="E35" s="2" t="s">
        <v>46</v>
      </c>
      <c r="F35" s="2" t="s">
        <v>12</v>
      </c>
      <c r="G35" s="6" t="s">
        <v>47</v>
      </c>
      <c r="H35" s="2" t="s">
        <v>48</v>
      </c>
      <c r="I35" s="2" t="n">
        <v>0.25</v>
      </c>
    </row>
    <row r="36" customFormat="false" ht="13.5" hidden="false" customHeight="true" outlineLevel="0" collapsed="false">
      <c r="A36" s="2" t="s">
        <v>81</v>
      </c>
      <c r="B36" s="2" t="s">
        <v>53</v>
      </c>
      <c r="C36" s="2" t="s">
        <v>59</v>
      </c>
      <c r="D36" s="2" t="s">
        <v>60</v>
      </c>
      <c r="E36" s="2" t="s">
        <v>75</v>
      </c>
      <c r="F36" s="2" t="s">
        <v>12</v>
      </c>
      <c r="G36" s="6" t="s">
        <v>47</v>
      </c>
      <c r="H36" s="6" t="s">
        <v>48</v>
      </c>
      <c r="I36" s="2" t="n">
        <v>0.5</v>
      </c>
    </row>
    <row r="37" customFormat="false" ht="13.5" hidden="false" customHeight="true" outlineLevel="0" collapsed="false">
      <c r="A37" s="2" t="s">
        <v>82</v>
      </c>
      <c r="B37" s="2" t="s">
        <v>53</v>
      </c>
      <c r="C37" s="2" t="s">
        <v>59</v>
      </c>
      <c r="D37" s="2" t="s">
        <v>60</v>
      </c>
      <c r="E37" s="2" t="s">
        <v>75</v>
      </c>
      <c r="F37" s="2" t="s">
        <v>12</v>
      </c>
      <c r="G37" s="6" t="s">
        <v>47</v>
      </c>
      <c r="H37" s="6" t="s">
        <v>48</v>
      </c>
      <c r="I37" s="2" t="n">
        <v>0.5</v>
      </c>
    </row>
    <row r="38" customFormat="false" ht="13.5" hidden="false" customHeight="true" outlineLevel="0" collapsed="false"/>
    <row r="39" customFormat="false" ht="13.5" hidden="false" customHeight="true" outlineLevel="0" collapsed="false">
      <c r="A39" s="2" t="s">
        <v>83</v>
      </c>
      <c r="B39" s="2" t="s">
        <v>42</v>
      </c>
      <c r="C39" s="2" t="s">
        <v>59</v>
      </c>
      <c r="D39" s="2" t="s">
        <v>60</v>
      </c>
      <c r="E39" s="2" t="s">
        <v>72</v>
      </c>
      <c r="F39" s="2" t="s">
        <v>73</v>
      </c>
      <c r="G39" s="6" t="s">
        <v>63</v>
      </c>
      <c r="H39" s="6" t="s">
        <v>48</v>
      </c>
      <c r="I39" s="2" t="n">
        <v>0.66</v>
      </c>
      <c r="K39" s="6"/>
    </row>
    <row r="40" customFormat="false" ht="13.5" hidden="false" customHeight="true" outlineLevel="0" collapsed="false">
      <c r="A40" s="2" t="s">
        <v>84</v>
      </c>
      <c r="B40" s="2" t="s">
        <v>42</v>
      </c>
      <c r="C40" s="2" t="s">
        <v>59</v>
      </c>
      <c r="D40" s="2" t="s">
        <v>60</v>
      </c>
      <c r="E40" s="2" t="s">
        <v>72</v>
      </c>
      <c r="F40" s="2" t="s">
        <v>73</v>
      </c>
      <c r="G40" s="6" t="s">
        <v>63</v>
      </c>
      <c r="H40" s="6" t="s">
        <v>48</v>
      </c>
      <c r="I40" s="2" t="n">
        <v>0.5</v>
      </c>
      <c r="K40" s="6"/>
    </row>
    <row r="41" customFormat="false" ht="13.5" hidden="false" customHeight="true" outlineLevel="0" collapsed="false">
      <c r="A41" s="2" t="s">
        <v>85</v>
      </c>
      <c r="B41" s="2" t="s">
        <v>42</v>
      </c>
      <c r="C41" s="2" t="s">
        <v>59</v>
      </c>
      <c r="D41" s="2" t="s">
        <v>60</v>
      </c>
      <c r="E41" s="2" t="s">
        <v>72</v>
      </c>
      <c r="F41" s="2" t="s">
        <v>73</v>
      </c>
      <c r="G41" s="6" t="s">
        <v>63</v>
      </c>
      <c r="H41" s="6" t="s">
        <v>48</v>
      </c>
      <c r="I41" s="2" t="n">
        <v>0.75</v>
      </c>
      <c r="K41" s="6"/>
    </row>
    <row r="42" customFormat="false" ht="13.5" hidden="false" customHeight="true" outlineLevel="0" collapsed="false">
      <c r="A42" s="2" t="s">
        <v>86</v>
      </c>
      <c r="B42" s="2" t="s">
        <v>42</v>
      </c>
      <c r="C42" s="2" t="s">
        <v>59</v>
      </c>
      <c r="D42" s="2" t="s">
        <v>60</v>
      </c>
      <c r="E42" s="2" t="s">
        <v>72</v>
      </c>
      <c r="F42" s="2" t="s">
        <v>73</v>
      </c>
      <c r="G42" s="6" t="s">
        <v>63</v>
      </c>
      <c r="H42" s="6" t="s">
        <v>48</v>
      </c>
      <c r="I42" s="2" t="n">
        <v>0.75</v>
      </c>
      <c r="K42" s="6"/>
    </row>
    <row r="43" customFormat="false" ht="13.5" hidden="false" customHeight="true" outlineLevel="0" collapsed="false"/>
    <row r="44" customFormat="false" ht="13.5" hidden="false" customHeight="true" outlineLevel="0" collapsed="false">
      <c r="A44" s="2" t="s">
        <v>87</v>
      </c>
      <c r="B44" s="2" t="s">
        <v>53</v>
      </c>
      <c r="C44" s="2" t="s">
        <v>59</v>
      </c>
      <c r="D44" s="2" t="s">
        <v>60</v>
      </c>
      <c r="E44" s="2" t="s">
        <v>72</v>
      </c>
      <c r="F44" s="2" t="s">
        <v>73</v>
      </c>
      <c r="G44" s="6" t="s">
        <v>63</v>
      </c>
      <c r="H44" s="6" t="s">
        <v>48</v>
      </c>
      <c r="I44" s="2" t="n">
        <v>0</v>
      </c>
    </row>
    <row r="45" customFormat="false" ht="13.5" hidden="false" customHeight="true" outlineLevel="0" collapsed="false">
      <c r="A45" s="2" t="s">
        <v>88</v>
      </c>
      <c r="B45" s="2" t="s">
        <v>53</v>
      </c>
      <c r="C45" s="2" t="s">
        <v>59</v>
      </c>
      <c r="D45" s="2" t="s">
        <v>60</v>
      </c>
      <c r="E45" s="2" t="s">
        <v>72</v>
      </c>
      <c r="F45" s="2" t="s">
        <v>73</v>
      </c>
      <c r="G45" s="6" t="s">
        <v>63</v>
      </c>
      <c r="H45" s="6" t="s">
        <v>48</v>
      </c>
      <c r="I45" s="2" t="n">
        <v>0.5</v>
      </c>
    </row>
    <row r="46" customFormat="false" ht="13.5" hidden="false" customHeight="true" outlineLevel="0" collapsed="false">
      <c r="A46" s="2" t="s">
        <v>89</v>
      </c>
      <c r="B46" s="2" t="s">
        <v>53</v>
      </c>
      <c r="C46" s="2" t="s">
        <v>59</v>
      </c>
      <c r="D46" s="2" t="s">
        <v>60</v>
      </c>
      <c r="E46" s="2" t="s">
        <v>72</v>
      </c>
      <c r="F46" s="2" t="s">
        <v>73</v>
      </c>
      <c r="G46" s="6" t="s">
        <v>63</v>
      </c>
      <c r="H46" s="6" t="s">
        <v>48</v>
      </c>
      <c r="I46" s="2" t="n">
        <v>0.75</v>
      </c>
    </row>
    <row r="47" customFormat="false" ht="13.5" hidden="false" customHeight="true" outlineLevel="0" collapsed="false">
      <c r="A47" s="2" t="s">
        <v>90</v>
      </c>
      <c r="B47" s="2" t="s">
        <v>53</v>
      </c>
      <c r="C47" s="2" t="s">
        <v>59</v>
      </c>
      <c r="D47" s="2" t="s">
        <v>60</v>
      </c>
      <c r="E47" s="2" t="s">
        <v>72</v>
      </c>
      <c r="F47" s="2" t="s">
        <v>73</v>
      </c>
      <c r="G47" s="6" t="s">
        <v>63</v>
      </c>
      <c r="H47" s="6" t="s">
        <v>48</v>
      </c>
      <c r="I47" s="2" t="n">
        <v>0.75</v>
      </c>
    </row>
    <row r="48" customFormat="false" ht="13.5" hidden="false" customHeight="true" outlineLevel="0" collapsed="false"/>
    <row r="49" customFormat="false" ht="13.8" hidden="false" customHeight="false" outlineLevel="0" collapsed="false">
      <c r="A49" s="2" t="s">
        <v>91</v>
      </c>
      <c r="B49" s="2" t="s">
        <v>92</v>
      </c>
    </row>
    <row r="50" customFormat="false" ht="13.5" hidden="false" customHeight="true" outlineLevel="0" collapsed="false">
      <c r="A50" s="2" t="s">
        <v>93</v>
      </c>
      <c r="B50" s="2" t="s">
        <v>92</v>
      </c>
      <c r="C50" s="2" t="s">
        <v>94</v>
      </c>
      <c r="D50" s="2" t="s">
        <v>60</v>
      </c>
      <c r="E50" s="2" t="s">
        <v>72</v>
      </c>
      <c r="F50" s="2" t="s">
        <v>95</v>
      </c>
      <c r="G50" s="6" t="s">
        <v>63</v>
      </c>
      <c r="H50" s="6" t="s">
        <v>48</v>
      </c>
      <c r="I50" s="2" t="n">
        <v>0.1</v>
      </c>
    </row>
    <row r="51" customFormat="false" ht="13.5" hidden="false" customHeight="true" outlineLevel="0" collapsed="false">
      <c r="A51" s="2" t="s">
        <v>96</v>
      </c>
      <c r="B51" s="2" t="s">
        <v>92</v>
      </c>
      <c r="C51" s="2" t="s">
        <v>94</v>
      </c>
      <c r="D51" s="2" t="s">
        <v>60</v>
      </c>
      <c r="E51" s="2" t="s">
        <v>72</v>
      </c>
      <c r="F51" s="2" t="s">
        <v>95</v>
      </c>
      <c r="G51" s="6" t="s">
        <v>63</v>
      </c>
      <c r="H51" s="6" t="s">
        <v>48</v>
      </c>
      <c r="I51" s="2" t="n">
        <v>0.33</v>
      </c>
    </row>
    <row r="52" customFormat="false" ht="13.5" hidden="false" customHeight="true" outlineLevel="0" collapsed="false">
      <c r="A52" s="2" t="s">
        <v>97</v>
      </c>
      <c r="B52" s="2" t="s">
        <v>92</v>
      </c>
      <c r="C52" s="2" t="s">
        <v>94</v>
      </c>
      <c r="D52" s="2" t="s">
        <v>60</v>
      </c>
      <c r="E52" s="2" t="s">
        <v>72</v>
      </c>
      <c r="F52" s="2" t="s">
        <v>95</v>
      </c>
      <c r="G52" s="6" t="s">
        <v>63</v>
      </c>
      <c r="H52" s="6" t="s">
        <v>48</v>
      </c>
      <c r="I52" s="2" t="n">
        <v>0.33</v>
      </c>
    </row>
    <row r="53" customFormat="false" ht="13.5" hidden="false" customHeight="true" outlineLevel="0" collapsed="false">
      <c r="A53" s="2" t="s">
        <v>98</v>
      </c>
      <c r="B53" s="2" t="s">
        <v>92</v>
      </c>
      <c r="C53" s="2" t="s">
        <v>94</v>
      </c>
      <c r="D53" s="2" t="s">
        <v>60</v>
      </c>
      <c r="E53" s="2" t="s">
        <v>72</v>
      </c>
      <c r="F53" s="2" t="s">
        <v>95</v>
      </c>
      <c r="G53" s="6" t="s">
        <v>63</v>
      </c>
      <c r="H53" s="6" t="s">
        <v>48</v>
      </c>
      <c r="I53" s="2" t="n">
        <v>0.33</v>
      </c>
    </row>
    <row r="54" customFormat="false" ht="13.5" hidden="false" customHeight="true" outlineLevel="0" collapsed="false"/>
    <row r="55" customFormat="false" ht="13.8" hidden="false" customHeight="false" outlineLevel="0" collapsed="false">
      <c r="A55" s="2" t="s">
        <v>99</v>
      </c>
      <c r="B55" s="2" t="s">
        <v>92</v>
      </c>
      <c r="G55" s="6"/>
      <c r="H55" s="6"/>
    </row>
    <row r="56" customFormat="false" ht="13.8" hidden="false" customHeight="false" outlineLevel="0" collapsed="false">
      <c r="A56" s="2" t="s">
        <v>100</v>
      </c>
      <c r="B56" s="2" t="s">
        <v>92</v>
      </c>
      <c r="C56" s="2" t="s">
        <v>94</v>
      </c>
      <c r="D56" s="2" t="s">
        <v>60</v>
      </c>
      <c r="E56" s="2" t="s">
        <v>101</v>
      </c>
      <c r="F56" s="2" t="s">
        <v>95</v>
      </c>
      <c r="G56" s="6" t="s">
        <v>63</v>
      </c>
      <c r="H56" s="6" t="s">
        <v>48</v>
      </c>
      <c r="I56" s="2" t="n">
        <v>0.2</v>
      </c>
    </row>
    <row r="57" customFormat="false" ht="13.5" hidden="false" customHeight="true" outlineLevel="0" collapsed="false">
      <c r="A57" s="2" t="s">
        <v>102</v>
      </c>
      <c r="B57" s="2" t="s">
        <v>92</v>
      </c>
      <c r="C57" s="2" t="s">
        <v>94</v>
      </c>
      <c r="D57" s="2" t="s">
        <v>60</v>
      </c>
      <c r="E57" s="2" t="s">
        <v>101</v>
      </c>
      <c r="F57" s="2" t="s">
        <v>95</v>
      </c>
      <c r="G57" s="6" t="s">
        <v>63</v>
      </c>
      <c r="H57" s="6" t="s">
        <v>48</v>
      </c>
      <c r="I57" s="2" t="n">
        <v>0.2</v>
      </c>
    </row>
    <row r="58" customFormat="false" ht="13.5" hidden="false" customHeight="true" outlineLevel="0" collapsed="false">
      <c r="A58" s="2" t="s">
        <v>103</v>
      </c>
      <c r="B58" s="2" t="s">
        <v>92</v>
      </c>
      <c r="C58" s="2" t="s">
        <v>94</v>
      </c>
      <c r="D58" s="2" t="s">
        <v>60</v>
      </c>
      <c r="E58" s="2" t="s">
        <v>101</v>
      </c>
      <c r="F58" s="2" t="s">
        <v>95</v>
      </c>
      <c r="G58" s="6" t="s">
        <v>63</v>
      </c>
      <c r="H58" s="6" t="s">
        <v>48</v>
      </c>
      <c r="I58" s="2" t="n">
        <v>0.2</v>
      </c>
    </row>
    <row r="59" customFormat="false" ht="13.5" hidden="false" customHeight="true" outlineLevel="0" collapsed="false"/>
    <row r="60" customFormat="false" ht="13.5" hidden="false" customHeight="true" outlineLevel="0" collapsed="false">
      <c r="A60" s="2" t="s">
        <v>104</v>
      </c>
      <c r="B60" s="2" t="s">
        <v>92</v>
      </c>
      <c r="C60" s="2" t="s">
        <v>94</v>
      </c>
      <c r="D60" s="2" t="s">
        <v>60</v>
      </c>
      <c r="E60" s="2" t="s">
        <v>101</v>
      </c>
      <c r="F60" s="2" t="s">
        <v>95</v>
      </c>
      <c r="G60" s="6" t="s">
        <v>63</v>
      </c>
      <c r="H60" s="6" t="s">
        <v>48</v>
      </c>
      <c r="I60" s="2" t="n">
        <v>0.2</v>
      </c>
    </row>
    <row r="61" customFormat="false" ht="13.5" hidden="false" customHeight="true" outlineLevel="0" collapsed="false">
      <c r="A61" s="2" t="s">
        <v>105</v>
      </c>
      <c r="B61" s="2" t="s">
        <v>92</v>
      </c>
      <c r="C61" s="2" t="s">
        <v>94</v>
      </c>
      <c r="D61" s="2" t="s">
        <v>60</v>
      </c>
      <c r="E61" s="2" t="s">
        <v>101</v>
      </c>
      <c r="F61" s="2" t="s">
        <v>95</v>
      </c>
      <c r="G61" s="6" t="s">
        <v>63</v>
      </c>
      <c r="H61" s="6" t="s">
        <v>48</v>
      </c>
      <c r="I61" s="2" t="n">
        <v>0</v>
      </c>
    </row>
    <row r="62" customFormat="false" ht="13.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customFormat="false" ht="13.5" hidden="false" customHeight="true" outlineLevel="0" collapsed="false">
      <c r="A63" s="2" t="s">
        <v>106</v>
      </c>
      <c r="B63" s="2" t="s">
        <v>92</v>
      </c>
      <c r="C63" s="2" t="s">
        <v>94</v>
      </c>
      <c r="D63" s="2" t="s">
        <v>60</v>
      </c>
      <c r="E63" s="2" t="s">
        <v>101</v>
      </c>
      <c r="F63" s="2" t="s">
        <v>95</v>
      </c>
      <c r="G63" s="6" t="s">
        <v>63</v>
      </c>
      <c r="H63" s="6" t="s">
        <v>48</v>
      </c>
      <c r="I63" s="2" t="n">
        <v>0.2</v>
      </c>
    </row>
    <row r="64" customFormat="false" ht="13.5" hidden="false" customHeight="true" outlineLevel="0" collapsed="false">
      <c r="A64" s="2" t="s">
        <v>107</v>
      </c>
      <c r="B64" s="2" t="s">
        <v>92</v>
      </c>
      <c r="C64" s="2" t="s">
        <v>94</v>
      </c>
      <c r="D64" s="2" t="s">
        <v>60</v>
      </c>
      <c r="E64" s="2" t="s">
        <v>101</v>
      </c>
      <c r="F64" s="2" t="s">
        <v>95</v>
      </c>
      <c r="G64" s="6" t="s">
        <v>63</v>
      </c>
      <c r="H64" s="6" t="s">
        <v>48</v>
      </c>
      <c r="I64" s="2" t="n">
        <v>0.2</v>
      </c>
    </row>
    <row r="65" customFormat="false" ht="13.5" hidden="false" customHeight="true" outlineLevel="0" collapsed="false"/>
    <row r="66" customFormat="false" ht="13.5" hidden="false" customHeight="true" outlineLevel="0" collapsed="false">
      <c r="A66" s="2" t="s">
        <v>108</v>
      </c>
      <c r="B66" s="2" t="s">
        <v>92</v>
      </c>
      <c r="C66" s="2" t="s">
        <v>44</v>
      </c>
      <c r="D66" s="2" t="s">
        <v>45</v>
      </c>
      <c r="E66" s="2" t="s">
        <v>109</v>
      </c>
      <c r="F66" s="2" t="s">
        <v>12</v>
      </c>
      <c r="G66" s="6" t="s">
        <v>47</v>
      </c>
      <c r="H66" s="2" t="s">
        <v>48</v>
      </c>
      <c r="I66" s="2" t="n">
        <v>0.25</v>
      </c>
    </row>
    <row r="67" customFormat="false" ht="13.5" hidden="false" customHeight="true" outlineLevel="0" collapsed="false">
      <c r="A67" s="2" t="s">
        <v>110</v>
      </c>
      <c r="B67" s="2" t="s">
        <v>92</v>
      </c>
      <c r="C67" s="2" t="s">
        <v>44</v>
      </c>
      <c r="D67" s="2" t="s">
        <v>45</v>
      </c>
      <c r="E67" s="2" t="s">
        <v>109</v>
      </c>
      <c r="F67" s="2" t="s">
        <v>12</v>
      </c>
      <c r="G67" s="6" t="s">
        <v>47</v>
      </c>
      <c r="H67" s="2" t="s">
        <v>48</v>
      </c>
      <c r="I67" s="2" t="n">
        <v>0.25</v>
      </c>
    </row>
    <row r="68" customFormat="false" ht="13.5" hidden="false" customHeight="true" outlineLevel="0" collapsed="false">
      <c r="A68" s="2" t="s">
        <v>111</v>
      </c>
      <c r="B68" s="2" t="s">
        <v>92</v>
      </c>
      <c r="C68" s="2" t="s">
        <v>44</v>
      </c>
      <c r="D68" s="2" t="s">
        <v>45</v>
      </c>
      <c r="E68" s="2" t="s">
        <v>109</v>
      </c>
      <c r="F68" s="2" t="s">
        <v>12</v>
      </c>
      <c r="G68" s="6" t="s">
        <v>47</v>
      </c>
      <c r="H68" s="2" t="s">
        <v>48</v>
      </c>
      <c r="I68" s="2" t="n">
        <v>0.25</v>
      </c>
    </row>
    <row r="69" customFormat="false" ht="13.5" hidden="false" customHeight="true" outlineLevel="0" collapsed="false"/>
    <row r="70" customFormat="false" ht="13.5" hidden="false" customHeight="true" outlineLevel="0" collapsed="false">
      <c r="A70" s="2" t="s">
        <v>112</v>
      </c>
      <c r="B70" s="2" t="s">
        <v>92</v>
      </c>
      <c r="C70" s="2" t="s">
        <v>44</v>
      </c>
      <c r="D70" s="2" t="s">
        <v>45</v>
      </c>
      <c r="E70" s="2" t="s">
        <v>46</v>
      </c>
      <c r="F70" s="2" t="s">
        <v>12</v>
      </c>
      <c r="G70" s="6" t="s">
        <v>47</v>
      </c>
      <c r="H70" s="2" t="s">
        <v>48</v>
      </c>
      <c r="I70" s="2" t="n">
        <v>0.25</v>
      </c>
    </row>
    <row r="71" customFormat="false" ht="13.5" hidden="false" customHeight="true" outlineLevel="0" collapsed="false">
      <c r="A71" s="2" t="s">
        <v>113</v>
      </c>
      <c r="B71" s="2" t="s">
        <v>92</v>
      </c>
      <c r="C71" s="2" t="s">
        <v>44</v>
      </c>
      <c r="D71" s="2" t="s">
        <v>45</v>
      </c>
      <c r="E71" s="2" t="s">
        <v>46</v>
      </c>
      <c r="F71" s="2" t="s">
        <v>12</v>
      </c>
      <c r="G71" s="6" t="s">
        <v>47</v>
      </c>
      <c r="H71" s="2" t="s">
        <v>48</v>
      </c>
      <c r="I71" s="2" t="n">
        <v>0.25</v>
      </c>
    </row>
    <row r="72" customFormat="false" ht="13.8" hidden="false" customHeight="false" outlineLevel="0" collapsed="false">
      <c r="A72" s="2" t="s">
        <v>114</v>
      </c>
      <c r="B72" s="2" t="s">
        <v>92</v>
      </c>
      <c r="C72" s="2" t="s">
        <v>44</v>
      </c>
      <c r="D72" s="2" t="s">
        <v>45</v>
      </c>
      <c r="E72" s="2" t="s">
        <v>46</v>
      </c>
      <c r="F72" s="2" t="s">
        <v>12</v>
      </c>
      <c r="G72" s="6" t="s">
        <v>47</v>
      </c>
      <c r="H72" s="2" t="s">
        <v>48</v>
      </c>
      <c r="I72" s="2" t="n">
        <v>0.25</v>
      </c>
    </row>
    <row r="73" customFormat="false" ht="13.8" hidden="false" customHeight="false" outlineLevel="0" collapsed="false">
      <c r="A73" s="2" t="s">
        <v>115</v>
      </c>
      <c r="B73" s="2" t="s">
        <v>92</v>
      </c>
      <c r="C73" s="2" t="s">
        <v>44</v>
      </c>
      <c r="D73" s="2" t="s">
        <v>45</v>
      </c>
      <c r="E73" s="2" t="s">
        <v>46</v>
      </c>
      <c r="F73" s="2" t="s">
        <v>12</v>
      </c>
      <c r="G73" s="6" t="s">
        <v>47</v>
      </c>
      <c r="H73" s="2" t="s">
        <v>48</v>
      </c>
      <c r="I73" s="2" t="n">
        <v>0.25</v>
      </c>
    </row>
    <row r="75" customFormat="false" ht="13.8" hidden="false" customHeight="false" outlineLevel="0" collapsed="false">
      <c r="A75" s="2" t="s">
        <v>116</v>
      </c>
      <c r="B75" s="2" t="s">
        <v>117</v>
      </c>
    </row>
    <row r="76" customFormat="false" ht="13.8" hidden="false" customHeight="false" outlineLevel="0" collapsed="false">
      <c r="A76" s="2" t="s">
        <v>118</v>
      </c>
      <c r="B76" s="2" t="s">
        <v>117</v>
      </c>
      <c r="C76" s="2" t="s">
        <v>59</v>
      </c>
      <c r="D76" s="2" t="s">
        <v>60</v>
      </c>
      <c r="E76" s="2" t="s">
        <v>101</v>
      </c>
      <c r="F76" s="2" t="s">
        <v>73</v>
      </c>
      <c r="G76" s="6" t="s">
        <v>63</v>
      </c>
      <c r="H76" s="6" t="s">
        <v>48</v>
      </c>
      <c r="I76" s="2" t="n">
        <v>0</v>
      </c>
    </row>
    <row r="78" customFormat="false" ht="13.8" hidden="false" customHeight="false" outlineLevel="0" collapsed="false">
      <c r="A78" s="2" t="s">
        <v>119</v>
      </c>
      <c r="B78" s="2" t="s">
        <v>117</v>
      </c>
      <c r="C78" s="2" t="s">
        <v>94</v>
      </c>
      <c r="D78" s="2" t="s">
        <v>60</v>
      </c>
      <c r="E78" s="2" t="s">
        <v>61</v>
      </c>
      <c r="F78" s="2" t="s">
        <v>95</v>
      </c>
      <c r="G78" s="6" t="s">
        <v>63</v>
      </c>
      <c r="H78" s="6" t="s">
        <v>48</v>
      </c>
      <c r="I78" s="2" t="n">
        <v>0.5</v>
      </c>
    </row>
    <row r="79" customFormat="false" ht="13.8" hidden="false" customHeight="false" outlineLevel="0" collapsed="false">
      <c r="A79" s="2" t="s">
        <v>120</v>
      </c>
      <c r="B79" s="2" t="s">
        <v>117</v>
      </c>
      <c r="C79" s="2" t="s">
        <v>59</v>
      </c>
      <c r="D79" s="2" t="s">
        <v>60</v>
      </c>
      <c r="E79" s="2" t="s">
        <v>101</v>
      </c>
      <c r="F79" s="2" t="s">
        <v>73</v>
      </c>
      <c r="G79" s="6" t="s">
        <v>63</v>
      </c>
      <c r="H79" s="6" t="s">
        <v>48</v>
      </c>
      <c r="I79" s="2" t="n">
        <v>0.5</v>
      </c>
    </row>
    <row r="80" customFormat="false" ht="13.8" hidden="false" customHeight="false" outlineLevel="0" collapsed="false">
      <c r="A80" s="2" t="s">
        <v>121</v>
      </c>
      <c r="B80" s="2" t="s">
        <v>117</v>
      </c>
      <c r="C80" s="2" t="s">
        <v>94</v>
      </c>
      <c r="D80" s="2" t="s">
        <v>60</v>
      </c>
      <c r="E80" s="2" t="s">
        <v>101</v>
      </c>
      <c r="F80" s="2" t="s">
        <v>95</v>
      </c>
      <c r="G80" s="6" t="s">
        <v>63</v>
      </c>
      <c r="H80" s="6" t="s">
        <v>48</v>
      </c>
      <c r="I80" s="2" t="n">
        <v>0.5</v>
      </c>
    </row>
    <row r="81" customFormat="false" ht="13.8" hidden="false" customHeight="false" outlineLevel="0" collapsed="false">
      <c r="A81" s="2" t="s">
        <v>122</v>
      </c>
      <c r="B81" s="2" t="s">
        <v>117</v>
      </c>
      <c r="C81" s="2" t="s">
        <v>59</v>
      </c>
      <c r="D81" s="2" t="s">
        <v>60</v>
      </c>
      <c r="E81" s="2" t="s">
        <v>72</v>
      </c>
      <c r="F81" s="2" t="s">
        <v>73</v>
      </c>
      <c r="G81" s="6" t="s">
        <v>63</v>
      </c>
      <c r="H81" s="6" t="s">
        <v>48</v>
      </c>
      <c r="I81" s="2" t="n">
        <v>0.5</v>
      </c>
    </row>
    <row r="82" customFormat="false" ht="13.8" hidden="false" customHeight="false" outlineLevel="0" collapsed="false">
      <c r="A82" s="2" t="s">
        <v>123</v>
      </c>
      <c r="B82" s="2" t="s">
        <v>117</v>
      </c>
      <c r="C82" s="2" t="s">
        <v>94</v>
      </c>
      <c r="D82" s="2" t="s">
        <v>60</v>
      </c>
      <c r="E82" s="2" t="s">
        <v>101</v>
      </c>
      <c r="F82" s="2" t="s">
        <v>95</v>
      </c>
      <c r="G82" s="6" t="s">
        <v>63</v>
      </c>
      <c r="H82" s="6" t="s">
        <v>48</v>
      </c>
      <c r="I82" s="2" t="n">
        <v>0.5</v>
      </c>
    </row>
    <row r="83" customFormat="false" ht="13.8" hidden="false" customHeight="false" outlineLevel="0" collapsed="false">
      <c r="A83" s="2" t="s">
        <v>124</v>
      </c>
      <c r="B83" s="2" t="s">
        <v>117</v>
      </c>
      <c r="C83" s="2" t="s">
        <v>94</v>
      </c>
      <c r="D83" s="2" t="s">
        <v>60</v>
      </c>
      <c r="E83" s="2" t="s">
        <v>101</v>
      </c>
      <c r="F83" s="2" t="s">
        <v>95</v>
      </c>
      <c r="G83" s="6" t="s">
        <v>63</v>
      </c>
      <c r="H83" s="6" t="s">
        <v>48</v>
      </c>
      <c r="I83" s="2" t="n">
        <v>0.5</v>
      </c>
    </row>
    <row r="84" customFormat="false" ht="13.8" hidden="false" customHeight="false" outlineLevel="0" collapsed="false">
      <c r="A84" s="2" t="s">
        <v>125</v>
      </c>
      <c r="B84" s="2" t="s">
        <v>117</v>
      </c>
      <c r="C84" s="2" t="s">
        <v>59</v>
      </c>
      <c r="D84" s="2" t="s">
        <v>60</v>
      </c>
      <c r="E84" s="2" t="s">
        <v>101</v>
      </c>
      <c r="F84" s="2" t="s">
        <v>73</v>
      </c>
      <c r="G84" s="6" t="s">
        <v>63</v>
      </c>
      <c r="H84" s="6" t="s">
        <v>48</v>
      </c>
      <c r="I84" s="2" t="n">
        <v>0</v>
      </c>
    </row>
    <row r="85" customFormat="false" ht="13.8" hidden="false" customHeight="false" outlineLevel="0" collapsed="false">
      <c r="A85" s="2" t="s">
        <v>126</v>
      </c>
      <c r="B85" s="2" t="s">
        <v>117</v>
      </c>
      <c r="C85" s="2" t="s">
        <v>59</v>
      </c>
      <c r="D85" s="2" t="s">
        <v>60</v>
      </c>
      <c r="E85" s="2" t="s">
        <v>101</v>
      </c>
      <c r="F85" s="2" t="s">
        <v>73</v>
      </c>
      <c r="G85" s="6" t="s">
        <v>63</v>
      </c>
      <c r="H85" s="6" t="s">
        <v>48</v>
      </c>
      <c r="I85" s="2" t="n">
        <v>0</v>
      </c>
    </row>
    <row r="86" customFormat="false" ht="13.8" hidden="false" customHeight="false" outlineLevel="0" collapsed="false">
      <c r="A86" s="2" t="s">
        <v>127</v>
      </c>
      <c r="B86" s="2" t="s">
        <v>117</v>
      </c>
      <c r="C86" s="2" t="s">
        <v>59</v>
      </c>
      <c r="D86" s="2" t="s">
        <v>60</v>
      </c>
      <c r="E86" s="2" t="s">
        <v>101</v>
      </c>
      <c r="F86" s="2" t="s">
        <v>73</v>
      </c>
      <c r="G86" s="6" t="s">
        <v>63</v>
      </c>
      <c r="H86" s="6" t="s">
        <v>48</v>
      </c>
      <c r="I86" s="2" t="n">
        <v>0.5</v>
      </c>
    </row>
    <row r="87" customFormat="false" ht="13.8" hidden="false" customHeight="false" outlineLevel="0" collapsed="false">
      <c r="A87" s="2" t="s">
        <v>128</v>
      </c>
      <c r="B87" s="2" t="s">
        <v>117</v>
      </c>
      <c r="C87" s="2" t="s">
        <v>59</v>
      </c>
      <c r="D87" s="2" t="s">
        <v>60</v>
      </c>
      <c r="E87" s="2" t="s">
        <v>72</v>
      </c>
      <c r="F87" s="2" t="s">
        <v>73</v>
      </c>
      <c r="G87" s="6" t="s">
        <v>63</v>
      </c>
      <c r="H87" s="6" t="s">
        <v>48</v>
      </c>
      <c r="I87" s="2" t="n">
        <v>0.75</v>
      </c>
    </row>
    <row r="89" customFormat="false" ht="13.8" hidden="false" customHeight="false" outlineLevel="0" collapsed="false">
      <c r="A89" s="2" t="s">
        <v>129</v>
      </c>
      <c r="B89" s="2" t="s">
        <v>117</v>
      </c>
      <c r="C89" s="2" t="s">
        <v>44</v>
      </c>
      <c r="D89" s="2" t="s">
        <v>45</v>
      </c>
      <c r="E89" s="2" t="s">
        <v>46</v>
      </c>
      <c r="F89" s="2" t="s">
        <v>12</v>
      </c>
      <c r="G89" s="6" t="s">
        <v>47</v>
      </c>
      <c r="H89" s="2" t="s">
        <v>48</v>
      </c>
      <c r="I89" s="2" t="n">
        <v>0.25</v>
      </c>
    </row>
    <row r="90" customFormat="false" ht="13.8" hidden="false" customHeight="false" outlineLevel="0" collapsed="false">
      <c r="A90" s="2" t="s">
        <v>130</v>
      </c>
      <c r="B90" s="2" t="s">
        <v>117</v>
      </c>
      <c r="C90" s="2" t="s">
        <v>44</v>
      </c>
      <c r="D90" s="2" t="s">
        <v>45</v>
      </c>
      <c r="E90" s="2" t="s">
        <v>46</v>
      </c>
      <c r="F90" s="2" t="s">
        <v>12</v>
      </c>
      <c r="G90" s="6" t="s">
        <v>47</v>
      </c>
      <c r="H90" s="2" t="s">
        <v>48</v>
      </c>
      <c r="I90" s="2" t="n">
        <v>0.25</v>
      </c>
    </row>
    <row r="91" customFormat="false" ht="13.8" hidden="false" customHeight="false" outlineLevel="0" collapsed="false">
      <c r="A91" s="2" t="s">
        <v>131</v>
      </c>
      <c r="B91" s="2" t="s">
        <v>117</v>
      </c>
      <c r="C91" s="2" t="s">
        <v>44</v>
      </c>
      <c r="D91" s="2" t="s">
        <v>45</v>
      </c>
      <c r="E91" s="2" t="s">
        <v>46</v>
      </c>
      <c r="F91" s="2" t="s">
        <v>12</v>
      </c>
      <c r="G91" s="6" t="s">
        <v>47</v>
      </c>
      <c r="H91" s="2" t="s">
        <v>48</v>
      </c>
      <c r="I91" s="2" t="n">
        <v>0.25</v>
      </c>
    </row>
    <row r="93" customFormat="false" ht="13.8" hidden="false" customHeight="false" outlineLevel="0" collapsed="false">
      <c r="A93" s="2" t="s">
        <v>132</v>
      </c>
      <c r="B93" s="2" t="s">
        <v>133</v>
      </c>
      <c r="C93" s="2" t="s">
        <v>59</v>
      </c>
      <c r="D93" s="2" t="s">
        <v>60</v>
      </c>
      <c r="E93" s="2" t="s">
        <v>61</v>
      </c>
      <c r="F93" s="2" t="s">
        <v>62</v>
      </c>
      <c r="G93" s="6" t="s">
        <v>48</v>
      </c>
      <c r="H93" s="6" t="s">
        <v>63</v>
      </c>
      <c r="I93" s="2" t="n">
        <v>0.5</v>
      </c>
    </row>
    <row r="94" customFormat="false" ht="13.8" hidden="false" customHeight="false" outlineLevel="0" collapsed="false">
      <c r="A94" s="2" t="s">
        <v>134</v>
      </c>
      <c r="B94" s="2" t="s">
        <v>133</v>
      </c>
      <c r="C94" s="2" t="s">
        <v>59</v>
      </c>
      <c r="D94" s="2" t="s">
        <v>60</v>
      </c>
      <c r="E94" s="2" t="s">
        <v>61</v>
      </c>
      <c r="F94" s="2" t="s">
        <v>62</v>
      </c>
      <c r="G94" s="6" t="s">
        <v>48</v>
      </c>
      <c r="H94" s="6" t="s">
        <v>63</v>
      </c>
      <c r="I94" s="2" t="n">
        <v>0.5</v>
      </c>
    </row>
    <row r="95" customFormat="false" ht="13.8" hidden="false" customHeight="false" outlineLevel="0" collapsed="false">
      <c r="A95" s="2" t="s">
        <v>135</v>
      </c>
      <c r="B95" s="2" t="s">
        <v>133</v>
      </c>
      <c r="C95" s="2" t="s">
        <v>59</v>
      </c>
      <c r="D95" s="2" t="s">
        <v>60</v>
      </c>
      <c r="E95" s="2" t="s">
        <v>61</v>
      </c>
      <c r="F95" s="2" t="s">
        <v>62</v>
      </c>
      <c r="G95" s="6" t="s">
        <v>48</v>
      </c>
      <c r="H95" s="6" t="s">
        <v>63</v>
      </c>
      <c r="I95" s="2" t="n">
        <v>0.5</v>
      </c>
    </row>
    <row r="96" customFormat="false" ht="13.8" hidden="false" customHeight="false" outlineLevel="0" collapsed="false">
      <c r="A96" s="2" t="s">
        <v>136</v>
      </c>
      <c r="B96" s="2" t="s">
        <v>133</v>
      </c>
      <c r="C96" s="2" t="s">
        <v>59</v>
      </c>
      <c r="D96" s="2" t="s">
        <v>60</v>
      </c>
      <c r="E96" s="2" t="s">
        <v>61</v>
      </c>
      <c r="F96" s="2" t="s">
        <v>62</v>
      </c>
      <c r="G96" s="6" t="s">
        <v>48</v>
      </c>
      <c r="H96" s="6" t="s">
        <v>63</v>
      </c>
      <c r="I96" s="2" t="n">
        <v>0.5</v>
      </c>
    </row>
    <row r="97" customFormat="false" ht="13.8" hidden="false" customHeight="false" outlineLevel="0" collapsed="false">
      <c r="A97" s="2" t="s">
        <v>137</v>
      </c>
      <c r="B97" s="2" t="s">
        <v>133</v>
      </c>
      <c r="C97" s="2" t="s">
        <v>44</v>
      </c>
      <c r="D97" s="2" t="s">
        <v>45</v>
      </c>
      <c r="E97" s="2" t="s">
        <v>109</v>
      </c>
      <c r="F97" s="2" t="s">
        <v>12</v>
      </c>
      <c r="G97" s="6" t="s">
        <v>47</v>
      </c>
      <c r="H97" s="2" t="s">
        <v>48</v>
      </c>
      <c r="I97" s="2" t="n">
        <v>0.25</v>
      </c>
    </row>
    <row r="99" customFormat="false" ht="13.8" hidden="false" customHeight="false" outlineLevel="0" collapsed="false">
      <c r="A99" s="2" t="s">
        <v>138</v>
      </c>
    </row>
    <row r="100" customFormat="false" ht="13.8" hidden="false" customHeight="false" outlineLevel="0" collapsed="false">
      <c r="A100" s="2" t="s">
        <v>139</v>
      </c>
      <c r="B100" s="2" t="s">
        <v>140</v>
      </c>
      <c r="C100" s="2" t="s">
        <v>59</v>
      </c>
      <c r="D100" s="2" t="s">
        <v>60</v>
      </c>
      <c r="E100" s="2" t="s">
        <v>61</v>
      </c>
      <c r="F100" s="2" t="s">
        <v>12</v>
      </c>
      <c r="G100" s="6" t="s">
        <v>47</v>
      </c>
      <c r="H100" s="6" t="s">
        <v>48</v>
      </c>
      <c r="I100" s="2" t="n">
        <v>0.33</v>
      </c>
    </row>
    <row r="101" customFormat="false" ht="13.8" hidden="false" customHeight="false" outlineLevel="0" collapsed="false">
      <c r="A101" s="2" t="s">
        <v>141</v>
      </c>
      <c r="B101" s="2" t="s">
        <v>140</v>
      </c>
      <c r="C101" s="2" t="s">
        <v>59</v>
      </c>
      <c r="D101" s="2" t="s">
        <v>60</v>
      </c>
      <c r="E101" s="2" t="s">
        <v>75</v>
      </c>
      <c r="F101" s="2" t="s">
        <v>12</v>
      </c>
      <c r="G101" s="6" t="s">
        <v>47</v>
      </c>
      <c r="H101" s="6" t="s">
        <v>48</v>
      </c>
      <c r="I101" s="2" t="n">
        <v>0.5</v>
      </c>
    </row>
    <row r="102" customFormat="false" ht="13.8" hidden="false" customHeight="false" outlineLevel="0" collapsed="false">
      <c r="A102" s="2" t="s">
        <v>142</v>
      </c>
      <c r="B102" s="2" t="s">
        <v>140</v>
      </c>
      <c r="C102" s="2" t="s">
        <v>59</v>
      </c>
      <c r="D102" s="2" t="s">
        <v>60</v>
      </c>
      <c r="E102" s="2" t="s">
        <v>61</v>
      </c>
      <c r="F102" s="2" t="s">
        <v>12</v>
      </c>
      <c r="G102" s="6" t="s">
        <v>47</v>
      </c>
      <c r="H102" s="6" t="s">
        <v>48</v>
      </c>
      <c r="I102" s="2" t="n">
        <v>0.5</v>
      </c>
    </row>
    <row r="103" customFormat="false" ht="13.8" hidden="false" customHeight="false" outlineLevel="0" collapsed="false">
      <c r="A103" s="7"/>
    </row>
    <row r="104" customFormat="false" ht="13.8" hidden="false" customHeight="false" outlineLevel="0" collapsed="false">
      <c r="A104" s="2" t="s">
        <v>143</v>
      </c>
      <c r="B104" s="2" t="s">
        <v>140</v>
      </c>
      <c r="C104" s="2" t="s">
        <v>94</v>
      </c>
      <c r="D104" s="2" t="s">
        <v>60</v>
      </c>
      <c r="E104" s="2" t="s">
        <v>101</v>
      </c>
      <c r="F104" s="2" t="s">
        <v>95</v>
      </c>
      <c r="G104" s="6" t="s">
        <v>63</v>
      </c>
      <c r="H104" s="6" t="s">
        <v>48</v>
      </c>
      <c r="I104" s="2" t="n">
        <v>0.1</v>
      </c>
    </row>
    <row r="105" customFormat="false" ht="13.8" hidden="false" customHeight="false" outlineLevel="0" collapsed="false">
      <c r="A105" s="2" t="s">
        <v>144</v>
      </c>
      <c r="B105" s="2" t="s">
        <v>140</v>
      </c>
      <c r="C105" s="2" t="s">
        <v>94</v>
      </c>
      <c r="D105" s="2" t="s">
        <v>60</v>
      </c>
      <c r="E105" s="2" t="s">
        <v>101</v>
      </c>
      <c r="F105" s="2" t="s">
        <v>95</v>
      </c>
      <c r="G105" s="6" t="s">
        <v>63</v>
      </c>
      <c r="H105" s="6" t="s">
        <v>48</v>
      </c>
      <c r="I105" s="2" t="n">
        <v>0.5</v>
      </c>
    </row>
    <row r="106" customFormat="false" ht="13.8" hidden="false" customHeight="false" outlineLevel="0" collapsed="false">
      <c r="A106" s="2" t="s">
        <v>145</v>
      </c>
      <c r="B106" s="2" t="s">
        <v>140</v>
      </c>
      <c r="C106" s="2" t="s">
        <v>94</v>
      </c>
      <c r="D106" s="2" t="s">
        <v>60</v>
      </c>
      <c r="E106" s="2" t="s">
        <v>101</v>
      </c>
      <c r="F106" s="2" t="s">
        <v>95</v>
      </c>
      <c r="G106" s="6" t="s">
        <v>63</v>
      </c>
      <c r="H106" s="6" t="s">
        <v>48</v>
      </c>
      <c r="I106" s="2" t="n">
        <v>0.5</v>
      </c>
    </row>
    <row r="107" customFormat="false" ht="13.8" hidden="false" customHeight="false" outlineLevel="0" collapsed="false">
      <c r="A107" s="2" t="s">
        <v>146</v>
      </c>
      <c r="B107" s="2" t="s">
        <v>140</v>
      </c>
      <c r="C107" s="2" t="s">
        <v>94</v>
      </c>
      <c r="D107" s="2" t="s">
        <v>60</v>
      </c>
      <c r="E107" s="2" t="s">
        <v>101</v>
      </c>
      <c r="F107" s="2" t="s">
        <v>95</v>
      </c>
      <c r="G107" s="6" t="s">
        <v>63</v>
      </c>
      <c r="H107" s="6" t="s">
        <v>48</v>
      </c>
      <c r="I107" s="2" t="n">
        <v>0.5</v>
      </c>
    </row>
    <row r="108" customFormat="false" ht="13.8" hidden="false" customHeight="false" outlineLevel="0" collapsed="false">
      <c r="A108" s="2" t="s">
        <v>147</v>
      </c>
      <c r="B108" s="2" t="s">
        <v>140</v>
      </c>
      <c r="C108" s="2" t="s">
        <v>94</v>
      </c>
      <c r="D108" s="2" t="s">
        <v>60</v>
      </c>
      <c r="E108" s="2" t="s">
        <v>101</v>
      </c>
      <c r="F108" s="2" t="s">
        <v>95</v>
      </c>
      <c r="G108" s="6" t="s">
        <v>63</v>
      </c>
      <c r="H108" s="6" t="s">
        <v>48</v>
      </c>
      <c r="I108" s="2" t="n">
        <v>0.5</v>
      </c>
    </row>
    <row r="109" customFormat="false" ht="13.8" hidden="false" customHeight="false" outlineLevel="0" collapsed="false">
      <c r="A109" s="7"/>
    </row>
    <row r="110" customFormat="false" ht="13.8" hidden="false" customHeight="false" outlineLevel="0" collapsed="false">
      <c r="A110" s="2" t="s">
        <v>148</v>
      </c>
      <c r="B110" s="2" t="s">
        <v>140</v>
      </c>
      <c r="C110" s="2" t="s">
        <v>59</v>
      </c>
      <c r="D110" s="2" t="s">
        <v>60</v>
      </c>
      <c r="E110" s="2" t="s">
        <v>72</v>
      </c>
      <c r="F110" s="2" t="s">
        <v>73</v>
      </c>
      <c r="G110" s="6" t="s">
        <v>63</v>
      </c>
      <c r="H110" s="6" t="s">
        <v>48</v>
      </c>
      <c r="I110" s="2" t="n">
        <v>0.5</v>
      </c>
    </row>
    <row r="111" customFormat="false" ht="13.8" hidden="false" customHeight="false" outlineLevel="0" collapsed="false">
      <c r="A111" s="2" t="s">
        <v>149</v>
      </c>
      <c r="B111" s="2" t="s">
        <v>140</v>
      </c>
      <c r="C111" s="2" t="s">
        <v>59</v>
      </c>
      <c r="D111" s="2" t="s">
        <v>60</v>
      </c>
      <c r="E111" s="2" t="s">
        <v>72</v>
      </c>
      <c r="F111" s="2" t="s">
        <v>73</v>
      </c>
      <c r="G111" s="6" t="s">
        <v>63</v>
      </c>
      <c r="H111" s="6" t="s">
        <v>48</v>
      </c>
      <c r="I111" s="2" t="n">
        <v>0.5</v>
      </c>
    </row>
    <row r="112" customFormat="false" ht="13.8" hidden="false" customHeight="false" outlineLevel="0" collapsed="false">
      <c r="A112" s="7"/>
    </row>
    <row r="113" customFormat="false" ht="13.8" hidden="false" customHeight="false" outlineLevel="0" collapsed="false">
      <c r="A113" s="7"/>
    </row>
    <row r="114" customFormat="false" ht="13.8" hidden="false" customHeight="false" outlineLevel="0" collapsed="false">
      <c r="A114" s="7"/>
    </row>
    <row r="118" customFormat="false" ht="13.8" hidden="false" customHeight="false" outlineLevel="0" collapsed="false">
      <c r="D118" s="7"/>
    </row>
    <row r="119" customFormat="false" ht="13.8" hidden="false" customHeight="false" outlineLevel="0" collapsed="false">
      <c r="D119" s="7"/>
    </row>
    <row r="120" customFormat="false" ht="13.8" hidden="false" customHeight="false" outlineLevel="0" collapsed="false">
      <c r="D120" s="7"/>
    </row>
    <row r="121" customFormat="false" ht="13.8" hidden="false" customHeight="false" outlineLevel="0" collapsed="false">
      <c r="D121" s="7"/>
    </row>
    <row r="122" customFormat="false" ht="13.8" hidden="false" customHeight="false" outlineLevel="0" collapsed="false">
      <c r="D122" s="7"/>
    </row>
    <row r="123" customFormat="false" ht="13.8" hidden="false" customHeight="false" outlineLevel="0" collapsed="false">
      <c r="D123" s="7"/>
    </row>
    <row r="124" customFormat="false" ht="13.8" hidden="false" customHeight="false" outlineLevel="0" collapsed="false">
      <c r="D124" s="7"/>
    </row>
    <row r="125" customFormat="false" ht="13.8" hidden="false" customHeight="false" outlineLevel="0" collapsed="false">
      <c r="D125" s="7"/>
    </row>
    <row r="126" customFormat="false" ht="13.8" hidden="false" customHeight="false" outlineLevel="0" collapsed="false">
      <c r="D126" s="7"/>
    </row>
    <row r="127" customFormat="false" ht="13.8" hidden="false" customHeight="false" outlineLevel="0" collapsed="false">
      <c r="D127" s="7"/>
    </row>
    <row r="128" customFormat="false" ht="13.8" hidden="false" customHeight="false" outlineLevel="0" collapsed="false">
      <c r="D128" s="7"/>
    </row>
    <row r="129" customFormat="false" ht="13.8" hidden="false" customHeight="false" outlineLevel="0" collapsed="false">
      <c r="D129" s="7"/>
    </row>
    <row r="130" customFormat="false" ht="13.8" hidden="false" customHeight="false" outlineLevel="0" collapsed="false">
      <c r="D130" s="7"/>
    </row>
    <row r="131" customFormat="false" ht="13.8" hidden="false" customHeight="false" outlineLevel="0" collapsed="false">
      <c r="D131" s="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F27" activeCellId="0" sqref="F27"/>
    </sheetView>
  </sheetViews>
  <sheetFormatPr defaultColWidth="11.55078125" defaultRowHeight="15" zeroHeight="false" outlineLevelRow="0" outlineLevelCol="0"/>
  <cols>
    <col collapsed="false" customWidth="true" hidden="false" outlineLevel="0" max="1" min="1" style="2" width="16.43"/>
    <col collapsed="false" customWidth="true" hidden="false" outlineLevel="0" max="2" min="2" style="2" width="14.94"/>
    <col collapsed="false" customWidth="true" hidden="false" outlineLevel="0" max="3" min="3" style="2" width="16.3"/>
    <col collapsed="false" customWidth="true" hidden="false" outlineLevel="0" max="4" min="4" style="2" width="7.45"/>
    <col collapsed="false" customWidth="true" hidden="false" outlineLevel="0" max="5" min="5" style="2" width="7.74"/>
    <col collapsed="false" customWidth="true" hidden="false" outlineLevel="0" max="6" min="6" style="2" width="7"/>
    <col collapsed="false" customWidth="true" hidden="false" outlineLevel="0" max="7" min="7" style="2" width="7.29"/>
    <col collapsed="false" customWidth="true" hidden="false" outlineLevel="0" max="8" min="8" style="2" width="7.99"/>
    <col collapsed="false" customWidth="true" hidden="false" outlineLevel="0" max="9" min="9" style="2" width="9.54"/>
    <col collapsed="false" customWidth="true" hidden="false" outlineLevel="0" max="10" min="10" style="2" width="6.77"/>
    <col collapsed="false" customWidth="true" hidden="false" outlineLevel="0" max="11" min="11" style="2" width="7.62"/>
    <col collapsed="false" customWidth="true" hidden="false" outlineLevel="0" max="12" min="12" style="2" width="7.17"/>
    <col collapsed="false" customWidth="true" hidden="false" outlineLevel="0" max="13" min="13" style="2" width="6.77"/>
    <col collapsed="false" customWidth="true" hidden="false" outlineLevel="0" max="14" min="14" style="2" width="7.11"/>
    <col collapsed="false" customWidth="false" hidden="false" outlineLevel="0" max="16384" min="15" style="2" width="11.55"/>
  </cols>
  <sheetData>
    <row r="1" s="5" customFormat="true" ht="15" hidden="false" customHeight="true" outlineLevel="0" collapsed="false">
      <c r="A1" s="5" t="s">
        <v>32</v>
      </c>
      <c r="B1" s="5" t="s">
        <v>33</v>
      </c>
      <c r="C1" s="5" t="s">
        <v>150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155</v>
      </c>
      <c r="I1" s="5" t="s">
        <v>156</v>
      </c>
      <c r="J1" s="5" t="s">
        <v>157</v>
      </c>
      <c r="K1" s="5" t="s">
        <v>158</v>
      </c>
      <c r="L1" s="5" t="s">
        <v>159</v>
      </c>
      <c r="M1" s="5" t="s">
        <v>160</v>
      </c>
      <c r="N1" s="5" t="s">
        <v>161</v>
      </c>
    </row>
    <row r="2" customFormat="false" ht="13.5" hidden="false" customHeight="true" outlineLevel="0" collapsed="false">
      <c r="A2" s="2" t="s">
        <v>41</v>
      </c>
      <c r="B2" s="2" t="s">
        <v>42</v>
      </c>
      <c r="C2" s="2" t="s">
        <v>162</v>
      </c>
      <c r="D2" s="2" t="n">
        <v>1</v>
      </c>
      <c r="E2" s="2" t="n">
        <v>3</v>
      </c>
      <c r="F2" s="6" t="n">
        <v>1</v>
      </c>
      <c r="G2" s="6" t="n">
        <v>3</v>
      </c>
      <c r="H2" s="2" t="s">
        <v>4</v>
      </c>
      <c r="I2" s="2" t="n">
        <v>12</v>
      </c>
    </row>
    <row r="3" customFormat="false" ht="13.5" hidden="false" customHeight="true" outlineLevel="0" collapsed="false">
      <c r="A3" s="2" t="s">
        <v>43</v>
      </c>
      <c r="B3" s="2" t="s">
        <v>42</v>
      </c>
      <c r="C3" s="2" t="s">
        <v>162</v>
      </c>
      <c r="D3" s="2" t="n">
        <v>2</v>
      </c>
      <c r="E3" s="2" t="n">
        <v>4</v>
      </c>
      <c r="F3" s="6" t="n">
        <v>2</v>
      </c>
      <c r="G3" s="6" t="n">
        <v>5</v>
      </c>
      <c r="H3" s="2" t="s">
        <v>4</v>
      </c>
      <c r="I3" s="2" t="n">
        <v>14</v>
      </c>
      <c r="L3" s="6"/>
    </row>
    <row r="4" customFormat="false" ht="13.5" hidden="false" customHeight="true" outlineLevel="0" collapsed="false">
      <c r="A4" s="2" t="s">
        <v>49</v>
      </c>
      <c r="B4" s="2" t="s">
        <v>42</v>
      </c>
      <c r="C4" s="2" t="s">
        <v>162</v>
      </c>
      <c r="D4" s="2" t="n">
        <v>3</v>
      </c>
      <c r="E4" s="2" t="n">
        <v>7</v>
      </c>
      <c r="F4" s="6" t="n">
        <v>4</v>
      </c>
      <c r="G4" s="6" t="n">
        <v>8</v>
      </c>
      <c r="H4" s="2" t="s">
        <v>4</v>
      </c>
      <c r="I4" s="2" t="n">
        <v>20</v>
      </c>
      <c r="L4" s="6"/>
    </row>
    <row r="5" customFormat="false" ht="13.5" hidden="false" customHeight="true" outlineLevel="0" collapsed="false">
      <c r="A5" s="2" t="s">
        <v>50</v>
      </c>
      <c r="B5" s="2" t="s">
        <v>42</v>
      </c>
      <c r="C5" s="2" t="s">
        <v>162</v>
      </c>
      <c r="D5" s="2" t="n">
        <v>6</v>
      </c>
      <c r="E5" s="2" t="n">
        <v>9</v>
      </c>
      <c r="F5" s="6" t="n">
        <v>8</v>
      </c>
      <c r="G5" s="6" t="n">
        <v>12</v>
      </c>
      <c r="H5" s="2" t="s">
        <v>4</v>
      </c>
      <c r="I5" s="2" t="n">
        <v>22</v>
      </c>
      <c r="L5" s="6"/>
    </row>
    <row r="6" customFormat="false" ht="13.5" hidden="false" customHeight="true" outlineLevel="0" collapsed="false">
      <c r="A6" s="2" t="s">
        <v>51</v>
      </c>
      <c r="B6" s="2" t="s">
        <v>42</v>
      </c>
      <c r="C6" s="2" t="s">
        <v>162</v>
      </c>
      <c r="D6" s="2" t="n">
        <v>8</v>
      </c>
      <c r="E6" s="2" t="n">
        <v>10</v>
      </c>
      <c r="F6" s="6" t="n">
        <v>12</v>
      </c>
      <c r="G6" s="6" t="n">
        <v>20</v>
      </c>
      <c r="H6" s="2" t="s">
        <v>4</v>
      </c>
      <c r="I6" s="2" t="n">
        <v>28</v>
      </c>
      <c r="L6" s="6"/>
    </row>
    <row r="7" customFormat="false" ht="13.5" hidden="false" customHeight="true" outlineLevel="0" collapsed="false"/>
    <row r="8" customFormat="false" ht="13.5" hidden="false" customHeight="true" outlineLevel="0" collapsed="false">
      <c r="A8" s="2" t="s">
        <v>52</v>
      </c>
      <c r="B8" s="2" t="s">
        <v>53</v>
      </c>
      <c r="C8" s="2" t="s">
        <v>163</v>
      </c>
      <c r="D8" s="2" t="n">
        <v>1</v>
      </c>
      <c r="E8" s="2" t="n">
        <v>3</v>
      </c>
      <c r="F8" s="2" t="n">
        <v>1</v>
      </c>
      <c r="G8" s="2" t="n">
        <v>2</v>
      </c>
      <c r="H8" s="2" t="s">
        <v>4</v>
      </c>
      <c r="I8" s="2" t="n">
        <v>12</v>
      </c>
    </row>
    <row r="9" customFormat="false" ht="13.5" hidden="false" customHeight="true" outlineLevel="0" collapsed="false">
      <c r="A9" s="2" t="s">
        <v>54</v>
      </c>
      <c r="B9" s="2" t="s">
        <v>53</v>
      </c>
      <c r="C9" s="2" t="s">
        <v>163</v>
      </c>
      <c r="D9" s="2" t="n">
        <v>2</v>
      </c>
      <c r="E9" s="2" t="n">
        <v>4</v>
      </c>
      <c r="F9" s="2" t="n">
        <v>2</v>
      </c>
      <c r="G9" s="2" t="n">
        <v>4</v>
      </c>
      <c r="H9" s="2" t="s">
        <v>4</v>
      </c>
      <c r="I9" s="2" t="n">
        <v>14</v>
      </c>
    </row>
    <row r="10" customFormat="false" ht="13.5" hidden="false" customHeight="true" outlineLevel="0" collapsed="false">
      <c r="A10" s="2" t="s">
        <v>55</v>
      </c>
      <c r="B10" s="2" t="s">
        <v>53</v>
      </c>
      <c r="C10" s="2" t="s">
        <v>163</v>
      </c>
      <c r="D10" s="2" t="n">
        <v>3</v>
      </c>
      <c r="E10" s="2" t="n">
        <v>6</v>
      </c>
      <c r="F10" s="2" t="n">
        <v>3</v>
      </c>
      <c r="G10" s="2" t="n">
        <v>6</v>
      </c>
      <c r="H10" s="2" t="s">
        <v>4</v>
      </c>
      <c r="I10" s="2" t="n">
        <v>14</v>
      </c>
    </row>
    <row r="11" customFormat="false" ht="13.5" hidden="false" customHeight="true" outlineLevel="0" collapsed="false">
      <c r="A11" s="2" t="s">
        <v>56</v>
      </c>
      <c r="B11" s="2" t="s">
        <v>53</v>
      </c>
      <c r="C11" s="2" t="s">
        <v>163</v>
      </c>
      <c r="D11" s="2" t="n">
        <v>5</v>
      </c>
      <c r="E11" s="2" t="n">
        <v>10</v>
      </c>
      <c r="F11" s="2" t="n">
        <v>1</v>
      </c>
      <c r="G11" s="2" t="n">
        <v>1</v>
      </c>
      <c r="H11" s="2" t="s">
        <v>4</v>
      </c>
      <c r="I11" s="2" t="n">
        <v>8</v>
      </c>
    </row>
    <row r="12" customFormat="false" ht="13.5" hidden="false" customHeight="true" outlineLevel="0" collapsed="false">
      <c r="A12" s="2" t="s">
        <v>57</v>
      </c>
      <c r="B12" s="2" t="s">
        <v>53</v>
      </c>
      <c r="C12" s="2" t="s">
        <v>163</v>
      </c>
      <c r="D12" s="2" t="n">
        <v>7</v>
      </c>
      <c r="E12" s="2" t="n">
        <v>10</v>
      </c>
      <c r="F12" s="2" t="n">
        <v>6</v>
      </c>
      <c r="G12" s="2" t="n">
        <v>14</v>
      </c>
      <c r="H12" s="2" t="s">
        <v>4</v>
      </c>
      <c r="I12" s="2" t="n">
        <v>20</v>
      </c>
    </row>
    <row r="13" customFormat="false" ht="13.5" hidden="false" customHeight="true" outlineLevel="0" collapsed="false"/>
    <row r="14" customFormat="false" ht="13.5" hidden="false" customHeight="true" outlineLevel="0" collapsed="false">
      <c r="A14" s="2" t="s">
        <v>58</v>
      </c>
      <c r="B14" s="2" t="s">
        <v>42</v>
      </c>
      <c r="C14" s="2" t="s">
        <v>164</v>
      </c>
      <c r="D14" s="2" t="n">
        <v>3</v>
      </c>
      <c r="E14" s="2" t="n">
        <v>5</v>
      </c>
      <c r="F14" s="6" t="n">
        <v>2</v>
      </c>
      <c r="G14" s="6" t="n">
        <v>5</v>
      </c>
      <c r="H14" s="2" t="s">
        <v>3</v>
      </c>
      <c r="I14" s="2" t="n">
        <v>16</v>
      </c>
      <c r="K14" s="6"/>
    </row>
    <row r="15" customFormat="false" ht="13.5" hidden="false" customHeight="true" outlineLevel="0" collapsed="false">
      <c r="A15" s="2" t="s">
        <v>64</v>
      </c>
      <c r="B15" s="2" t="s">
        <v>42</v>
      </c>
      <c r="C15" s="2" t="s">
        <v>164</v>
      </c>
      <c r="D15" s="2" t="n">
        <v>5</v>
      </c>
      <c r="E15" s="2" t="n">
        <v>7</v>
      </c>
      <c r="F15" s="6" t="n">
        <v>4</v>
      </c>
      <c r="G15" s="6" t="n">
        <v>7</v>
      </c>
      <c r="H15" s="2" t="s">
        <v>3</v>
      </c>
      <c r="I15" s="2" t="n">
        <v>18</v>
      </c>
      <c r="J15" s="6"/>
      <c r="K15" s="6"/>
    </row>
    <row r="16" customFormat="false" ht="13.5" hidden="false" customHeight="true" outlineLevel="0" collapsed="false">
      <c r="A16" s="2" t="s">
        <v>65</v>
      </c>
      <c r="B16" s="2" t="s">
        <v>42</v>
      </c>
      <c r="C16" s="2" t="s">
        <v>164</v>
      </c>
      <c r="D16" s="2" t="n">
        <v>6</v>
      </c>
      <c r="E16" s="2" t="n">
        <v>8</v>
      </c>
      <c r="F16" s="6" t="n">
        <v>7</v>
      </c>
      <c r="G16" s="6" t="n">
        <v>12</v>
      </c>
      <c r="H16" s="2" t="s">
        <v>3</v>
      </c>
      <c r="I16" s="2" t="n">
        <v>24</v>
      </c>
      <c r="K16" s="6"/>
    </row>
    <row r="17" customFormat="false" ht="13.5" hidden="false" customHeight="true" outlineLevel="0" collapsed="false">
      <c r="A17" s="2" t="s">
        <v>66</v>
      </c>
      <c r="B17" s="2" t="s">
        <v>42</v>
      </c>
      <c r="C17" s="2" t="s">
        <v>164</v>
      </c>
      <c r="D17" s="2" t="n">
        <v>8</v>
      </c>
      <c r="E17" s="2" t="n">
        <v>10</v>
      </c>
      <c r="F17" s="6" t="n">
        <v>14</v>
      </c>
      <c r="G17" s="6" t="n">
        <v>19</v>
      </c>
      <c r="H17" s="2" t="s">
        <v>3</v>
      </c>
      <c r="I17" s="2" t="n">
        <v>36</v>
      </c>
      <c r="K17" s="7"/>
      <c r="L17" s="7"/>
    </row>
    <row r="18" customFormat="false" ht="13.5" hidden="false" customHeight="true" outlineLevel="0" collapsed="false"/>
    <row r="19" customFormat="false" ht="13.5" hidden="false" customHeight="true" outlineLevel="0" collapsed="false">
      <c r="A19" s="2" t="s">
        <v>67</v>
      </c>
      <c r="B19" s="2" t="s">
        <v>53</v>
      </c>
      <c r="C19" s="2" t="s">
        <v>165</v>
      </c>
      <c r="D19" s="2" t="n">
        <v>1</v>
      </c>
      <c r="E19" s="2" t="n">
        <v>3</v>
      </c>
      <c r="F19" s="2" t="n">
        <v>2</v>
      </c>
      <c r="G19" s="2" t="n">
        <v>4</v>
      </c>
      <c r="H19" s="2" t="s">
        <v>3</v>
      </c>
      <c r="I19" s="2" t="n">
        <v>14</v>
      </c>
    </row>
    <row r="20" customFormat="false" ht="13.5" hidden="false" customHeight="true" outlineLevel="0" collapsed="false">
      <c r="A20" s="2" t="s">
        <v>68</v>
      </c>
      <c r="B20" s="2" t="s">
        <v>53</v>
      </c>
      <c r="C20" s="2" t="s">
        <v>165</v>
      </c>
      <c r="D20" s="2" t="n">
        <v>3</v>
      </c>
      <c r="E20" s="2" t="n">
        <v>5</v>
      </c>
      <c r="F20" s="2" t="n">
        <v>3</v>
      </c>
      <c r="G20" s="2" t="n">
        <v>5</v>
      </c>
      <c r="H20" s="2" t="s">
        <v>3</v>
      </c>
      <c r="I20" s="2" t="n">
        <v>16</v>
      </c>
    </row>
    <row r="21" customFormat="false" ht="13.5" hidden="false" customHeight="true" outlineLevel="0" collapsed="false">
      <c r="A21" s="2" t="s">
        <v>69</v>
      </c>
      <c r="B21" s="2" t="s">
        <v>53</v>
      </c>
      <c r="C21" s="2" t="s">
        <v>165</v>
      </c>
      <c r="D21" s="2" t="n">
        <v>4</v>
      </c>
      <c r="E21" s="2" t="n">
        <v>8</v>
      </c>
      <c r="F21" s="2" t="n">
        <v>5</v>
      </c>
      <c r="G21" s="2" t="n">
        <v>8</v>
      </c>
      <c r="H21" s="2" t="s">
        <v>3</v>
      </c>
      <c r="I21" s="2" t="n">
        <v>18</v>
      </c>
    </row>
    <row r="22" customFormat="false" ht="13.5" hidden="false" customHeight="true" outlineLevel="0" collapsed="false">
      <c r="A22" s="2" t="s">
        <v>70</v>
      </c>
      <c r="B22" s="2" t="s">
        <v>53</v>
      </c>
      <c r="C22" s="2" t="s">
        <v>165</v>
      </c>
      <c r="D22" s="2" t="n">
        <v>9</v>
      </c>
      <c r="E22" s="2" t="n">
        <v>10</v>
      </c>
      <c r="F22" s="2" t="n">
        <v>10</v>
      </c>
      <c r="G22" s="2" t="n">
        <v>14</v>
      </c>
      <c r="H22" s="2" t="s">
        <v>3</v>
      </c>
      <c r="I22" s="2" t="n">
        <v>28</v>
      </c>
    </row>
    <row r="23" customFormat="false" ht="13.5" hidden="false" customHeight="true" outlineLevel="0" collapsed="false"/>
    <row r="24" customFormat="false" ht="13.5" hidden="false" customHeight="true" outlineLevel="0" collapsed="false">
      <c r="A24" s="2" t="s">
        <v>71</v>
      </c>
      <c r="B24" s="2" t="s">
        <v>42</v>
      </c>
      <c r="C24" s="2" t="s">
        <v>166</v>
      </c>
      <c r="D24" s="2" t="n">
        <v>3</v>
      </c>
      <c r="E24" s="2" t="n">
        <v>5</v>
      </c>
      <c r="F24" s="6" t="n">
        <v>7</v>
      </c>
      <c r="G24" s="6" t="n">
        <v>10</v>
      </c>
      <c r="H24" s="2" t="s">
        <v>2</v>
      </c>
      <c r="I24" s="2" t="n">
        <v>19</v>
      </c>
      <c r="J24" s="6"/>
      <c r="L24" s="6"/>
    </row>
    <row r="25" customFormat="false" ht="13.5" hidden="false" customHeight="true" outlineLevel="0" collapsed="false">
      <c r="A25" s="2" t="s">
        <v>74</v>
      </c>
      <c r="B25" s="2" t="s">
        <v>42</v>
      </c>
      <c r="C25" s="2" t="s">
        <v>166</v>
      </c>
      <c r="D25" s="2" t="n">
        <v>4</v>
      </c>
      <c r="E25" s="2" t="n">
        <v>6</v>
      </c>
      <c r="F25" s="6" t="n">
        <v>13</v>
      </c>
      <c r="G25" s="6" t="n">
        <v>16</v>
      </c>
      <c r="H25" s="2" t="s">
        <v>2</v>
      </c>
      <c r="I25" s="2" t="n">
        <v>21</v>
      </c>
      <c r="J25" s="6"/>
      <c r="K25" s="6"/>
    </row>
    <row r="26" customFormat="false" ht="13.5" hidden="false" customHeight="true" outlineLevel="0" collapsed="false">
      <c r="A26" s="2" t="s">
        <v>76</v>
      </c>
      <c r="B26" s="2" t="s">
        <v>42</v>
      </c>
      <c r="C26" s="2" t="s">
        <v>166</v>
      </c>
      <c r="D26" s="2" t="n">
        <v>5</v>
      </c>
      <c r="E26" s="2" t="n">
        <v>7</v>
      </c>
      <c r="F26" s="6" t="n">
        <v>17</v>
      </c>
      <c r="G26" s="6" t="n">
        <v>20</v>
      </c>
      <c r="H26" s="2" t="s">
        <v>2</v>
      </c>
      <c r="I26" s="2" t="n">
        <v>25</v>
      </c>
      <c r="K26" s="6"/>
    </row>
    <row r="27" customFormat="false" ht="13.5" hidden="false" customHeight="true" outlineLevel="0" collapsed="false">
      <c r="A27" s="2" t="s">
        <v>77</v>
      </c>
      <c r="B27" s="2" t="s">
        <v>42</v>
      </c>
      <c r="C27" s="2" t="s">
        <v>166</v>
      </c>
      <c r="D27" s="2" t="n">
        <v>6</v>
      </c>
      <c r="E27" s="2" t="n">
        <v>9</v>
      </c>
      <c r="F27" s="6" t="n">
        <v>21</v>
      </c>
      <c r="G27" s="6" t="n">
        <v>25</v>
      </c>
      <c r="H27" s="2" t="s">
        <v>2</v>
      </c>
      <c r="I27" s="2" t="n">
        <v>29</v>
      </c>
      <c r="K27" s="6"/>
      <c r="L27" s="6"/>
    </row>
    <row r="28" customFormat="false" ht="13.5" hidden="false" customHeight="true" outlineLevel="0" collapsed="false">
      <c r="A28" s="2" t="s">
        <v>78</v>
      </c>
      <c r="B28" s="2" t="s">
        <v>42</v>
      </c>
      <c r="C28" s="2" t="s">
        <v>166</v>
      </c>
      <c r="D28" s="2" t="n">
        <v>8</v>
      </c>
      <c r="E28" s="2" t="n">
        <v>10</v>
      </c>
      <c r="F28" s="6" t="n">
        <v>20</v>
      </c>
      <c r="G28" s="6" t="n">
        <v>26</v>
      </c>
      <c r="H28" s="2" t="s">
        <v>2</v>
      </c>
      <c r="I28" s="2" t="n">
        <v>52</v>
      </c>
      <c r="J28" s="6"/>
      <c r="K28" s="6"/>
      <c r="L28" s="7"/>
    </row>
    <row r="29" customFormat="false" ht="13.5" hidden="false" customHeight="true" outlineLevel="0" collapsed="false"/>
    <row r="30" customFormat="false" ht="13.5" hidden="false" customHeight="true" outlineLevel="0" collapsed="false">
      <c r="A30" s="2" t="s">
        <v>79</v>
      </c>
      <c r="B30" s="2" t="s">
        <v>53</v>
      </c>
      <c r="C30" s="2" t="s">
        <v>167</v>
      </c>
      <c r="D30" s="2" t="n">
        <v>3</v>
      </c>
      <c r="E30" s="2" t="n">
        <v>4</v>
      </c>
      <c r="F30" s="2" t="n">
        <v>2</v>
      </c>
      <c r="G30" s="2" t="n">
        <v>2</v>
      </c>
      <c r="H30" s="2" t="s">
        <v>2</v>
      </c>
      <c r="I30" s="2" t="n">
        <v>12</v>
      </c>
    </row>
    <row r="31" customFormat="false" ht="13.5" hidden="false" customHeight="true" outlineLevel="0" collapsed="false">
      <c r="A31" s="2" t="s">
        <v>80</v>
      </c>
      <c r="B31" s="2" t="s">
        <v>53</v>
      </c>
      <c r="C31" s="2" t="s">
        <v>167</v>
      </c>
      <c r="D31" s="2" t="n">
        <v>4</v>
      </c>
      <c r="E31" s="2" t="n">
        <v>5</v>
      </c>
      <c r="F31" s="2" t="n">
        <v>8</v>
      </c>
      <c r="G31" s="2" t="n">
        <v>12</v>
      </c>
      <c r="H31" s="2" t="s">
        <v>2</v>
      </c>
      <c r="I31" s="2" t="n">
        <v>18</v>
      </c>
    </row>
    <row r="32" customFormat="false" ht="13.5" hidden="false" customHeight="true" outlineLevel="0" collapsed="false">
      <c r="A32" s="2" t="s">
        <v>81</v>
      </c>
      <c r="B32" s="2" t="s">
        <v>53</v>
      </c>
      <c r="C32" s="2" t="s">
        <v>167</v>
      </c>
      <c r="D32" s="2" t="n">
        <v>5</v>
      </c>
      <c r="E32" s="2" t="n">
        <v>8</v>
      </c>
      <c r="F32" s="2" t="n">
        <v>13</v>
      </c>
      <c r="G32" s="2" t="n">
        <v>15</v>
      </c>
      <c r="H32" s="2" t="s">
        <v>2</v>
      </c>
      <c r="I32" s="2" t="n">
        <v>19</v>
      </c>
    </row>
    <row r="33" customFormat="false" ht="13.5" hidden="false" customHeight="true" outlineLevel="0" collapsed="false">
      <c r="A33" s="2" t="s">
        <v>82</v>
      </c>
      <c r="B33" s="2" t="s">
        <v>53</v>
      </c>
      <c r="C33" s="2" t="s">
        <v>167</v>
      </c>
      <c r="D33" s="2" t="n">
        <v>7</v>
      </c>
      <c r="E33" s="2" t="n">
        <v>10</v>
      </c>
      <c r="F33" s="2" t="n">
        <v>15</v>
      </c>
      <c r="G33" s="2" t="n">
        <v>18</v>
      </c>
      <c r="H33" s="2" t="s">
        <v>2</v>
      </c>
      <c r="I33" s="2" t="n">
        <v>32</v>
      </c>
    </row>
    <row r="34" customFormat="false" ht="13.5" hidden="false" customHeight="true" outlineLevel="0" collapsed="false"/>
    <row r="35" customFormat="false" ht="13.5" hidden="false" customHeight="true" outlineLevel="0" collapsed="false">
      <c r="A35" s="2" t="s">
        <v>83</v>
      </c>
      <c r="B35" s="2" t="s">
        <v>42</v>
      </c>
      <c r="C35" s="2" t="s">
        <v>168</v>
      </c>
      <c r="D35" s="2" t="n">
        <v>2</v>
      </c>
      <c r="E35" s="2" t="n">
        <v>4</v>
      </c>
      <c r="F35" s="6" t="n">
        <v>10</v>
      </c>
      <c r="G35" s="6" t="n">
        <v>14</v>
      </c>
      <c r="H35" s="2" t="s">
        <v>1</v>
      </c>
      <c r="I35" s="2" t="n">
        <v>20</v>
      </c>
      <c r="J35" s="6"/>
    </row>
    <row r="36" customFormat="false" ht="13.5" hidden="false" customHeight="true" outlineLevel="0" collapsed="false">
      <c r="A36" s="2" t="s">
        <v>84</v>
      </c>
      <c r="B36" s="2" t="s">
        <v>42</v>
      </c>
      <c r="C36" s="2" t="s">
        <v>168</v>
      </c>
      <c r="D36" s="2" t="n">
        <v>4</v>
      </c>
      <c r="E36" s="2" t="n">
        <v>6</v>
      </c>
      <c r="F36" s="6" t="n">
        <v>16</v>
      </c>
      <c r="G36" s="6" t="n">
        <v>18</v>
      </c>
      <c r="H36" s="2" t="s">
        <v>1</v>
      </c>
      <c r="I36" s="2" t="n">
        <v>24</v>
      </c>
      <c r="J36" s="6"/>
    </row>
    <row r="37" customFormat="false" ht="13.5" hidden="false" customHeight="true" outlineLevel="0" collapsed="false">
      <c r="A37" s="2" t="s">
        <v>85</v>
      </c>
      <c r="B37" s="2" t="s">
        <v>42</v>
      </c>
      <c r="C37" s="2" t="s">
        <v>168</v>
      </c>
      <c r="D37" s="2" t="n">
        <v>5</v>
      </c>
      <c r="E37" s="2" t="n">
        <v>8</v>
      </c>
      <c r="F37" s="6" t="n">
        <v>20</v>
      </c>
      <c r="G37" s="6" t="n">
        <v>26</v>
      </c>
      <c r="H37" s="2" t="s">
        <v>1</v>
      </c>
      <c r="I37" s="2" t="n">
        <v>34</v>
      </c>
      <c r="J37" s="6"/>
    </row>
    <row r="38" customFormat="false" ht="13.5" hidden="false" customHeight="true" outlineLevel="0" collapsed="false">
      <c r="A38" s="2" t="s">
        <v>86</v>
      </c>
      <c r="B38" s="2" t="s">
        <v>42</v>
      </c>
      <c r="C38" s="2" t="s">
        <v>168</v>
      </c>
      <c r="D38" s="2" t="n">
        <v>8</v>
      </c>
      <c r="E38" s="2" t="n">
        <v>10</v>
      </c>
      <c r="F38" s="6" t="n">
        <v>27</v>
      </c>
      <c r="G38" s="6" t="n">
        <v>30</v>
      </c>
      <c r="H38" s="2" t="s">
        <v>1</v>
      </c>
      <c r="I38" s="2" t="n">
        <v>42</v>
      </c>
      <c r="J38" s="6"/>
    </row>
    <row r="39" customFormat="false" ht="13.5" hidden="false" customHeight="true" outlineLevel="0" collapsed="false"/>
    <row r="40" customFormat="false" ht="13.5" hidden="false" customHeight="true" outlineLevel="0" collapsed="false">
      <c r="A40" s="2" t="s">
        <v>87</v>
      </c>
      <c r="B40" s="2" t="s">
        <v>53</v>
      </c>
      <c r="C40" s="2" t="s">
        <v>169</v>
      </c>
      <c r="D40" s="2" t="n">
        <v>2</v>
      </c>
      <c r="E40" s="2" t="n">
        <v>4</v>
      </c>
      <c r="F40" s="2" t="n">
        <v>3</v>
      </c>
      <c r="G40" s="2" t="n">
        <v>5</v>
      </c>
      <c r="H40" s="2" t="s">
        <v>1</v>
      </c>
      <c r="I40" s="2" t="n">
        <v>18</v>
      </c>
    </row>
    <row r="41" customFormat="false" ht="13.5" hidden="false" customHeight="true" outlineLevel="0" collapsed="false">
      <c r="A41" s="2" t="s">
        <v>88</v>
      </c>
      <c r="B41" s="2" t="s">
        <v>53</v>
      </c>
      <c r="C41" s="2" t="s">
        <v>169</v>
      </c>
      <c r="D41" s="2" t="n">
        <v>4</v>
      </c>
      <c r="E41" s="2" t="n">
        <v>6</v>
      </c>
      <c r="F41" s="2" t="n">
        <v>10</v>
      </c>
      <c r="G41" s="2" t="n">
        <v>14</v>
      </c>
      <c r="H41" s="2" t="s">
        <v>1</v>
      </c>
      <c r="I41" s="2" t="n">
        <v>16</v>
      </c>
    </row>
    <row r="42" customFormat="false" ht="13.5" hidden="false" customHeight="true" outlineLevel="0" collapsed="false">
      <c r="A42" s="2" t="s">
        <v>89</v>
      </c>
      <c r="B42" s="2" t="s">
        <v>53</v>
      </c>
      <c r="C42" s="2" t="s">
        <v>169</v>
      </c>
      <c r="D42" s="2" t="n">
        <v>6</v>
      </c>
      <c r="E42" s="2" t="n">
        <v>9</v>
      </c>
      <c r="F42" s="2" t="n">
        <v>15</v>
      </c>
      <c r="G42" s="2" t="n">
        <v>17</v>
      </c>
      <c r="H42" s="2" t="s">
        <v>1</v>
      </c>
      <c r="I42" s="2" t="n">
        <v>31</v>
      </c>
    </row>
    <row r="43" customFormat="false" ht="13.5" hidden="false" customHeight="true" outlineLevel="0" collapsed="false">
      <c r="A43" s="2" t="s">
        <v>90</v>
      </c>
      <c r="B43" s="2" t="s">
        <v>53</v>
      </c>
      <c r="C43" s="2" t="s">
        <v>169</v>
      </c>
      <c r="D43" s="2" t="n">
        <v>9</v>
      </c>
      <c r="E43" s="2" t="n">
        <v>10</v>
      </c>
      <c r="F43" s="2" t="n">
        <v>18</v>
      </c>
      <c r="G43" s="2" t="n">
        <v>22</v>
      </c>
      <c r="H43" s="2" t="s">
        <v>1</v>
      </c>
      <c r="I43" s="2" t="n">
        <v>50</v>
      </c>
    </row>
    <row r="44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3.87"/>
    <col collapsed="false" customWidth="true" hidden="false" outlineLevel="0" max="2" min="2" style="2" width="23.09"/>
    <col collapsed="false" customWidth="true" hidden="false" outlineLevel="0" max="3" min="3" style="2" width="20.89"/>
    <col collapsed="false" customWidth="true" hidden="false" outlineLevel="0" max="4" min="4" style="2" width="7.52"/>
    <col collapsed="false" customWidth="true" hidden="false" outlineLevel="0" max="5" min="5" style="2" width="7.81"/>
    <col collapsed="false" customWidth="true" hidden="false" outlineLevel="0" max="6" min="6" style="2" width="8.95"/>
    <col collapsed="false" customWidth="true" hidden="false" outlineLevel="0" max="7" min="7" style="2" width="9.24"/>
    <col collapsed="false" customWidth="true" hidden="false" outlineLevel="0" max="8" min="8" style="2" width="25.85"/>
    <col collapsed="false" customWidth="true" hidden="false" outlineLevel="0" max="9" min="9" style="2" width="26.45"/>
    <col collapsed="false" customWidth="true" hidden="false" outlineLevel="0" max="15" min="10" style="2" width="10"/>
  </cols>
  <sheetData>
    <row r="1" s="5" customFormat="true" ht="15" hidden="false" customHeight="true" outlineLevel="0" collapsed="false">
      <c r="A1" s="5" t="s">
        <v>32</v>
      </c>
      <c r="B1" s="5" t="s">
        <v>33</v>
      </c>
      <c r="C1" s="5" t="s">
        <v>150</v>
      </c>
      <c r="D1" s="5" t="s">
        <v>151</v>
      </c>
      <c r="E1" s="5" t="s">
        <v>152</v>
      </c>
      <c r="F1" s="5" t="s">
        <v>170</v>
      </c>
      <c r="G1" s="5" t="s">
        <v>171</v>
      </c>
      <c r="H1" s="5" t="s">
        <v>172</v>
      </c>
      <c r="I1" s="5" t="s">
        <v>173</v>
      </c>
      <c r="J1" s="5" t="s">
        <v>156</v>
      </c>
      <c r="K1" s="5" t="s">
        <v>157</v>
      </c>
      <c r="L1" s="5" t="s">
        <v>158</v>
      </c>
      <c r="M1" s="5" t="s">
        <v>159</v>
      </c>
      <c r="N1" s="5" t="s">
        <v>160</v>
      </c>
      <c r="O1" s="5" t="s">
        <v>161</v>
      </c>
    </row>
    <row r="2" customFormat="false" ht="13.5" hidden="false" customHeight="true" outlineLevel="0" collapsed="false">
      <c r="A2" s="2" t="s">
        <v>91</v>
      </c>
      <c r="B2" s="2" t="s">
        <v>92</v>
      </c>
      <c r="C2" s="2" t="s">
        <v>174</v>
      </c>
      <c r="D2" s="2" t="n">
        <v>0</v>
      </c>
      <c r="E2" s="2" t="n">
        <v>0</v>
      </c>
      <c r="F2" s="2" t="n">
        <v>1</v>
      </c>
      <c r="G2" s="2" t="n">
        <v>3</v>
      </c>
      <c r="H2" s="2" t="n">
        <v>1</v>
      </c>
      <c r="I2" s="2" t="s">
        <v>175</v>
      </c>
      <c r="J2" s="2" t="n">
        <v>8</v>
      </c>
    </row>
    <row r="3" customFormat="false" ht="13.5" hidden="false" customHeight="true" outlineLevel="0" collapsed="false">
      <c r="A3" s="2" t="s">
        <v>93</v>
      </c>
      <c r="B3" s="2" t="s">
        <v>92</v>
      </c>
      <c r="C3" s="2" t="s">
        <v>174</v>
      </c>
      <c r="D3" s="2" t="n">
        <v>1</v>
      </c>
      <c r="E3" s="2" t="n">
        <v>3</v>
      </c>
      <c r="F3" s="2" t="n">
        <v>1</v>
      </c>
      <c r="G3" s="2" t="n">
        <v>4</v>
      </c>
      <c r="H3" s="2" t="n">
        <v>1</v>
      </c>
      <c r="I3" s="2" t="s">
        <v>175</v>
      </c>
      <c r="J3" s="2" t="n">
        <v>14</v>
      </c>
      <c r="K3" s="2" t="n">
        <v>0</v>
      </c>
    </row>
    <row r="4" customFormat="false" ht="13.5" hidden="false" customHeight="true" outlineLevel="0" collapsed="false">
      <c r="A4" s="2" t="s">
        <v>96</v>
      </c>
      <c r="B4" s="2" t="s">
        <v>92</v>
      </c>
      <c r="C4" s="2" t="s">
        <v>174</v>
      </c>
      <c r="D4" s="2" t="n">
        <v>2</v>
      </c>
      <c r="E4" s="2" t="n">
        <v>5</v>
      </c>
      <c r="F4" s="2" t="n">
        <v>1</v>
      </c>
      <c r="G4" s="2" t="n">
        <v>8</v>
      </c>
      <c r="H4" s="2" t="n">
        <v>1</v>
      </c>
      <c r="I4" s="2" t="s">
        <v>175</v>
      </c>
      <c r="J4" s="2" t="n">
        <v>22</v>
      </c>
    </row>
    <row r="5" customFormat="false" ht="13.5" hidden="false" customHeight="true" outlineLevel="0" collapsed="false">
      <c r="A5" s="2" t="s">
        <v>97</v>
      </c>
      <c r="B5" s="2" t="s">
        <v>92</v>
      </c>
      <c r="C5" s="2" t="s">
        <v>174</v>
      </c>
      <c r="D5" s="2" t="n">
        <v>4</v>
      </c>
      <c r="E5" s="2" t="n">
        <v>8</v>
      </c>
      <c r="F5" s="2" t="n">
        <v>2</v>
      </c>
      <c r="G5" s="2" t="n">
        <v>12</v>
      </c>
      <c r="H5" s="2" t="n">
        <v>1</v>
      </c>
      <c r="I5" s="2" t="s">
        <v>175</v>
      </c>
      <c r="J5" s="2" t="n">
        <v>18</v>
      </c>
    </row>
    <row r="6" customFormat="false" ht="13.5" hidden="false" customHeight="true" outlineLevel="0" collapsed="false">
      <c r="A6" s="2" t="s">
        <v>98</v>
      </c>
      <c r="B6" s="2" t="s">
        <v>92</v>
      </c>
      <c r="C6" s="2" t="s">
        <v>174</v>
      </c>
      <c r="D6" s="2" t="n">
        <v>8</v>
      </c>
      <c r="E6" s="2" t="n">
        <v>10</v>
      </c>
      <c r="F6" s="2" t="n">
        <v>4</v>
      </c>
      <c r="G6" s="2" t="n">
        <v>16</v>
      </c>
      <c r="H6" s="2" t="n">
        <v>1</v>
      </c>
      <c r="I6" s="2" t="s">
        <v>175</v>
      </c>
      <c r="J6" s="2" t="n">
        <v>20</v>
      </c>
    </row>
    <row r="7" customFormat="false" ht="13.5" hidden="false" customHeight="true" outlineLevel="0" collapsed="false">
      <c r="A7" s="2" t="s">
        <v>99</v>
      </c>
      <c r="B7" s="2" t="s">
        <v>92</v>
      </c>
      <c r="C7" s="2" t="s">
        <v>174</v>
      </c>
      <c r="D7" s="2" t="n">
        <v>0</v>
      </c>
      <c r="E7" s="2" t="n">
        <v>0</v>
      </c>
      <c r="F7" s="2" t="n">
        <v>1</v>
      </c>
      <c r="G7" s="2" t="n">
        <v>2</v>
      </c>
      <c r="H7" s="2" t="n">
        <v>1</v>
      </c>
      <c r="I7" s="2" t="s">
        <v>176</v>
      </c>
      <c r="J7" s="2" t="n">
        <v>7</v>
      </c>
    </row>
    <row r="8" customFormat="false" ht="13.5" hidden="false" customHeight="true" outlineLevel="0" collapsed="false">
      <c r="A8" s="2" t="s">
        <v>100</v>
      </c>
      <c r="B8" s="2" t="s">
        <v>92</v>
      </c>
      <c r="C8" s="2" t="s">
        <v>174</v>
      </c>
      <c r="D8" s="2" t="n">
        <v>2</v>
      </c>
      <c r="E8" s="2" t="n">
        <v>4</v>
      </c>
      <c r="F8" s="2" t="n">
        <v>2</v>
      </c>
      <c r="G8" s="2" t="n">
        <v>6</v>
      </c>
      <c r="H8" s="2" t="n">
        <v>1</v>
      </c>
      <c r="I8" s="2" t="s">
        <v>176</v>
      </c>
      <c r="J8" s="2" t="n">
        <v>15</v>
      </c>
      <c r="K8" s="2" t="n">
        <v>1</v>
      </c>
      <c r="L8" s="2" t="n">
        <v>1</v>
      </c>
    </row>
    <row r="9" customFormat="false" ht="15" hidden="false" customHeight="true" outlineLevel="0" collapsed="false">
      <c r="A9" s="2" t="s">
        <v>102</v>
      </c>
      <c r="B9" s="2" t="s">
        <v>92</v>
      </c>
      <c r="C9" s="2" t="s">
        <v>174</v>
      </c>
      <c r="D9" s="2" t="n">
        <v>3</v>
      </c>
      <c r="E9" s="2" t="n">
        <v>5</v>
      </c>
      <c r="F9" s="2" t="n">
        <v>4</v>
      </c>
      <c r="G9" s="2" t="n">
        <v>8</v>
      </c>
      <c r="H9" s="2" t="n">
        <v>1</v>
      </c>
      <c r="I9" s="2" t="s">
        <v>176</v>
      </c>
      <c r="J9" s="2" t="n">
        <v>17</v>
      </c>
    </row>
    <row r="10" customFormat="false" ht="15" hidden="false" customHeight="true" outlineLevel="0" collapsed="false">
      <c r="A10" s="2" t="s">
        <v>103</v>
      </c>
      <c r="B10" s="2" t="s">
        <v>92</v>
      </c>
      <c r="C10" s="2" t="s">
        <v>174</v>
      </c>
      <c r="D10" s="2" t="n">
        <v>6</v>
      </c>
      <c r="E10" s="2" t="n">
        <v>8</v>
      </c>
      <c r="F10" s="2" t="n">
        <v>4</v>
      </c>
      <c r="G10" s="2" t="n">
        <v>12</v>
      </c>
      <c r="H10" s="2" t="n">
        <v>1</v>
      </c>
      <c r="I10" s="2" t="s">
        <v>176</v>
      </c>
      <c r="J10" s="2" t="n">
        <v>24</v>
      </c>
    </row>
    <row r="11" customFormat="false" ht="15" hidden="false" customHeight="true" outlineLevel="0" collapsed="false">
      <c r="A11" s="2" t="s">
        <v>104</v>
      </c>
      <c r="B11" s="2" t="s">
        <v>92</v>
      </c>
      <c r="C11" s="2" t="s">
        <v>174</v>
      </c>
      <c r="D11" s="2" t="n">
        <v>8</v>
      </c>
      <c r="E11" s="2" t="n">
        <v>10</v>
      </c>
      <c r="F11" s="2" t="n">
        <v>6</v>
      </c>
      <c r="G11" s="2" t="n">
        <v>15</v>
      </c>
      <c r="H11" s="2" t="n">
        <v>2</v>
      </c>
      <c r="I11" s="2" t="s">
        <v>177</v>
      </c>
      <c r="J11" s="2" t="n">
        <v>25</v>
      </c>
    </row>
    <row r="12" customFormat="false" ht="15" hidden="false" customHeight="true" outlineLevel="0" collapsed="false">
      <c r="A12" s="2" t="s">
        <v>105</v>
      </c>
      <c r="B12" s="2" t="s">
        <v>92</v>
      </c>
      <c r="C12" s="2" t="s">
        <v>174</v>
      </c>
      <c r="D12" s="2" t="n">
        <v>1</v>
      </c>
      <c r="E12" s="2" t="n">
        <v>3</v>
      </c>
      <c r="F12" s="2" t="n">
        <v>1</v>
      </c>
      <c r="G12" s="2" t="n">
        <v>4</v>
      </c>
      <c r="H12" s="2" t="n">
        <v>2</v>
      </c>
      <c r="I12" s="2" t="s">
        <v>177</v>
      </c>
      <c r="J12" s="2" t="n">
        <v>9</v>
      </c>
      <c r="K12" s="2" t="n">
        <v>1</v>
      </c>
      <c r="L12" s="2" t="n">
        <v>1</v>
      </c>
    </row>
    <row r="13" customFormat="false" ht="15" hidden="false" customHeight="true" outlineLevel="0" collapsed="false">
      <c r="A13" s="2" t="s">
        <v>106</v>
      </c>
      <c r="B13" s="2" t="s">
        <v>92</v>
      </c>
      <c r="C13" s="2" t="s">
        <v>174</v>
      </c>
      <c r="D13" s="2" t="n">
        <v>3</v>
      </c>
      <c r="E13" s="2" t="n">
        <v>6</v>
      </c>
      <c r="F13" s="2" t="n">
        <v>1</v>
      </c>
      <c r="G13" s="2" t="n">
        <v>11</v>
      </c>
      <c r="H13" s="2" t="n">
        <v>1</v>
      </c>
      <c r="I13" s="2" t="s">
        <v>178</v>
      </c>
      <c r="J13" s="2" t="n">
        <v>13</v>
      </c>
    </row>
    <row r="14" customFormat="false" ht="15" hidden="false" customHeight="true" outlineLevel="0" collapsed="false">
      <c r="A14" s="2" t="s">
        <v>107</v>
      </c>
      <c r="B14" s="2" t="s">
        <v>92</v>
      </c>
      <c r="C14" s="2" t="s">
        <v>174</v>
      </c>
      <c r="D14" s="2" t="n">
        <v>6</v>
      </c>
      <c r="E14" s="2" t="n">
        <v>9</v>
      </c>
      <c r="F14" s="2" t="n">
        <v>4</v>
      </c>
      <c r="G14" s="2" t="n">
        <v>13</v>
      </c>
      <c r="H14" s="2" t="n">
        <v>1</v>
      </c>
      <c r="I14" s="2" t="s">
        <v>178</v>
      </c>
      <c r="J14" s="2" t="n">
        <v>25</v>
      </c>
    </row>
    <row r="15" customFormat="false" ht="15" hidden="false" customHeight="true" outlineLevel="0" collapsed="false">
      <c r="A15" s="2" t="s">
        <v>108</v>
      </c>
      <c r="B15" s="2" t="s">
        <v>92</v>
      </c>
      <c r="C15" s="2" t="s">
        <v>174</v>
      </c>
      <c r="D15" s="2" t="n">
        <v>5</v>
      </c>
      <c r="E15" s="2" t="n">
        <v>10</v>
      </c>
      <c r="F15" s="2" t="n">
        <v>2</v>
      </c>
      <c r="G15" s="2" t="n">
        <v>12</v>
      </c>
      <c r="H15" s="2" t="n">
        <v>2</v>
      </c>
      <c r="I15" s="2" t="s">
        <v>179</v>
      </c>
      <c r="J15" s="2" t="n">
        <v>20</v>
      </c>
    </row>
    <row r="16" customFormat="false" ht="15" hidden="false" customHeight="true" outlineLevel="0" collapsed="false">
      <c r="A16" s="2" t="s">
        <v>110</v>
      </c>
      <c r="B16" s="2" t="s">
        <v>92</v>
      </c>
      <c r="C16" s="2" t="s">
        <v>174</v>
      </c>
      <c r="D16" s="2" t="n">
        <v>5</v>
      </c>
      <c r="E16" s="2" t="n">
        <v>8</v>
      </c>
      <c r="F16" s="2" t="n">
        <v>6</v>
      </c>
      <c r="G16" s="2" t="n">
        <v>10</v>
      </c>
      <c r="H16" s="2" t="n">
        <v>1</v>
      </c>
      <c r="I16" s="2" t="s">
        <v>180</v>
      </c>
      <c r="J16" s="2" t="n">
        <v>12</v>
      </c>
    </row>
    <row r="17" customFormat="false" ht="15" hidden="false" customHeight="true" outlineLevel="0" collapsed="false">
      <c r="A17" s="2" t="s">
        <v>111</v>
      </c>
      <c r="B17" s="2" t="s">
        <v>92</v>
      </c>
      <c r="C17" s="2" t="s">
        <v>174</v>
      </c>
      <c r="D17" s="2" t="n">
        <v>2</v>
      </c>
      <c r="E17" s="2" t="n">
        <v>4</v>
      </c>
      <c r="F17" s="2" t="n">
        <v>2</v>
      </c>
      <c r="G17" s="2" t="n">
        <v>6</v>
      </c>
      <c r="H17" s="2" t="n">
        <v>1</v>
      </c>
      <c r="I17" s="2" t="s">
        <v>181</v>
      </c>
      <c r="J17" s="2" t="n">
        <v>9</v>
      </c>
    </row>
    <row r="18" customFormat="false" ht="15" hidden="false" customHeight="true" outlineLevel="0" collapsed="false">
      <c r="A18" s="2" t="s">
        <v>112</v>
      </c>
      <c r="B18" s="2" t="s">
        <v>92</v>
      </c>
      <c r="C18" s="2" t="s">
        <v>174</v>
      </c>
      <c r="D18" s="2" t="n">
        <v>2</v>
      </c>
      <c r="E18" s="2" t="n">
        <v>4</v>
      </c>
      <c r="F18" s="2" t="n">
        <v>1</v>
      </c>
      <c r="G18" s="2" t="n">
        <v>8</v>
      </c>
      <c r="H18" s="2" t="n">
        <v>1</v>
      </c>
      <c r="I18" s="2" t="s">
        <v>182</v>
      </c>
      <c r="J18" s="2" t="n">
        <v>10</v>
      </c>
    </row>
    <row r="19" customFormat="false" ht="15" hidden="false" customHeight="true" outlineLevel="0" collapsed="false">
      <c r="A19" s="2" t="s">
        <v>113</v>
      </c>
      <c r="B19" s="2" t="s">
        <v>92</v>
      </c>
      <c r="C19" s="2" t="s">
        <v>174</v>
      </c>
      <c r="D19" s="2" t="n">
        <v>3</v>
      </c>
      <c r="E19" s="2" t="n">
        <v>6</v>
      </c>
      <c r="F19" s="2" t="n">
        <v>2</v>
      </c>
      <c r="G19" s="2" t="n">
        <v>10</v>
      </c>
      <c r="H19" s="2" t="n">
        <v>1</v>
      </c>
      <c r="I19" s="2" t="s">
        <v>182</v>
      </c>
      <c r="J19" s="2" t="n">
        <v>14</v>
      </c>
    </row>
    <row r="20" customFormat="false" ht="15" hidden="false" customHeight="true" outlineLevel="0" collapsed="false">
      <c r="A20" s="2" t="s">
        <v>114</v>
      </c>
      <c r="B20" s="2" t="s">
        <v>92</v>
      </c>
      <c r="C20" s="2" t="s">
        <v>174</v>
      </c>
      <c r="D20" s="2" t="n">
        <v>5</v>
      </c>
      <c r="E20" s="2" t="n">
        <v>7</v>
      </c>
      <c r="F20" s="2" t="n">
        <v>3</v>
      </c>
      <c r="G20" s="2" t="n">
        <v>13</v>
      </c>
      <c r="H20" s="2" t="n">
        <v>1</v>
      </c>
      <c r="I20" s="2" t="s">
        <v>182</v>
      </c>
      <c r="J20" s="2" t="n">
        <v>18</v>
      </c>
    </row>
    <row r="21" customFormat="false" ht="15" hidden="false" customHeight="true" outlineLevel="0" collapsed="false">
      <c r="A21" s="2" t="s">
        <v>115</v>
      </c>
      <c r="B21" s="2" t="s">
        <v>92</v>
      </c>
      <c r="C21" s="2" t="s">
        <v>174</v>
      </c>
      <c r="D21" s="2" t="n">
        <v>8</v>
      </c>
      <c r="E21" s="2" t="n">
        <v>10</v>
      </c>
      <c r="F21" s="2" t="n">
        <v>6</v>
      </c>
      <c r="G21" s="2" t="n">
        <v>16</v>
      </c>
      <c r="H21" s="2" t="n">
        <v>1</v>
      </c>
      <c r="I21" s="2" t="s">
        <v>182</v>
      </c>
      <c r="J21" s="2" t="n">
        <v>24</v>
      </c>
    </row>
    <row r="22" customFormat="false" ht="15" hidden="false" customHeight="true" outlineLevel="0" collapsed="false">
      <c r="A22" s="2" t="s">
        <v>116</v>
      </c>
      <c r="B22" s="2" t="s">
        <v>117</v>
      </c>
      <c r="C22" s="2" t="s">
        <v>73</v>
      </c>
      <c r="D22" s="2" t="n">
        <v>0</v>
      </c>
      <c r="E22" s="2" t="n">
        <v>0</v>
      </c>
      <c r="F22" s="2" t="n">
        <v>1</v>
      </c>
      <c r="G22" s="2" t="n">
        <v>7</v>
      </c>
      <c r="H22" s="2" t="n">
        <v>1</v>
      </c>
      <c r="I22" s="2" t="s">
        <v>175</v>
      </c>
      <c r="J22" s="2" t="n">
        <v>6</v>
      </c>
    </row>
    <row r="23" customFormat="false" ht="15" hidden="false" customHeight="true" outlineLevel="0" collapsed="false">
      <c r="A23" s="2" t="s">
        <v>118</v>
      </c>
      <c r="B23" s="2" t="s">
        <v>117</v>
      </c>
      <c r="C23" s="2" t="s">
        <v>73</v>
      </c>
      <c r="D23" s="2" t="n">
        <v>1</v>
      </c>
      <c r="E23" s="2" t="n">
        <v>3</v>
      </c>
      <c r="F23" s="2" t="n">
        <v>2</v>
      </c>
      <c r="G23" s="2" t="n">
        <v>8</v>
      </c>
      <c r="H23" s="2" t="n">
        <v>1</v>
      </c>
      <c r="I23" s="2" t="s">
        <v>175</v>
      </c>
      <c r="J23" s="2" t="n">
        <v>8</v>
      </c>
      <c r="K23" s="2" t="n">
        <v>0</v>
      </c>
    </row>
    <row r="24" customFormat="false" ht="15" hidden="false" customHeight="true" outlineLevel="0" collapsed="false">
      <c r="A24" s="2" t="s">
        <v>119</v>
      </c>
      <c r="B24" s="2" t="s">
        <v>117</v>
      </c>
      <c r="C24" s="2" t="s">
        <v>73</v>
      </c>
      <c r="D24" s="2" t="n">
        <v>2</v>
      </c>
      <c r="E24" s="2" t="n">
        <v>4</v>
      </c>
      <c r="F24" s="2" t="n">
        <v>3</v>
      </c>
      <c r="G24" s="2" t="n">
        <v>9</v>
      </c>
      <c r="H24" s="2" t="n">
        <v>1</v>
      </c>
      <c r="I24" s="2" t="s">
        <v>178</v>
      </c>
      <c r="J24" s="2" t="n">
        <v>11</v>
      </c>
    </row>
    <row r="25" customFormat="false" ht="15" hidden="false" customHeight="true" outlineLevel="0" collapsed="false">
      <c r="A25" s="2" t="s">
        <v>120</v>
      </c>
      <c r="B25" s="2" t="s">
        <v>117</v>
      </c>
      <c r="C25" s="2" t="s">
        <v>73</v>
      </c>
      <c r="D25" s="2" t="n">
        <v>2</v>
      </c>
      <c r="E25" s="2" t="n">
        <v>4</v>
      </c>
      <c r="F25" s="2" t="n">
        <v>1</v>
      </c>
      <c r="G25" s="2" t="n">
        <v>11</v>
      </c>
      <c r="H25" s="2" t="n">
        <v>1</v>
      </c>
      <c r="I25" s="2" t="s">
        <v>176</v>
      </c>
      <c r="J25" s="2" t="n">
        <v>15</v>
      </c>
    </row>
    <row r="26" customFormat="false" ht="15" hidden="false" customHeight="true" outlineLevel="0" collapsed="false">
      <c r="A26" s="2" t="s">
        <v>121</v>
      </c>
      <c r="B26" s="2" t="s">
        <v>117</v>
      </c>
      <c r="C26" s="2" t="s">
        <v>73</v>
      </c>
      <c r="D26" s="2" t="n">
        <v>4</v>
      </c>
      <c r="E26" s="2" t="n">
        <v>6</v>
      </c>
      <c r="F26" s="2" t="n">
        <v>6</v>
      </c>
      <c r="G26" s="2" t="n">
        <v>12</v>
      </c>
      <c r="H26" s="2" t="n">
        <v>2</v>
      </c>
      <c r="I26" s="2" t="s">
        <v>183</v>
      </c>
      <c r="J26" s="2" t="n">
        <v>16</v>
      </c>
    </row>
    <row r="27" customFormat="false" ht="15" hidden="false" customHeight="true" outlineLevel="0" collapsed="false">
      <c r="A27" s="2" t="s">
        <v>122</v>
      </c>
      <c r="B27" s="2" t="s">
        <v>117</v>
      </c>
      <c r="C27" s="2" t="s">
        <v>73</v>
      </c>
      <c r="D27" s="2" t="n">
        <v>5</v>
      </c>
      <c r="E27" s="2" t="n">
        <v>7</v>
      </c>
      <c r="F27" s="2" t="n">
        <v>9</v>
      </c>
      <c r="G27" s="2" t="n">
        <v>14</v>
      </c>
      <c r="H27" s="2" t="n">
        <v>1</v>
      </c>
      <c r="I27" s="2" t="s">
        <v>175</v>
      </c>
      <c r="J27" s="2" t="n">
        <v>18</v>
      </c>
    </row>
    <row r="28" customFormat="false" ht="15" hidden="false" customHeight="true" outlineLevel="0" collapsed="false">
      <c r="A28" s="2" t="s">
        <v>123</v>
      </c>
      <c r="B28" s="2" t="s">
        <v>117</v>
      </c>
      <c r="C28" s="2" t="s">
        <v>73</v>
      </c>
      <c r="D28" s="2" t="n">
        <v>5</v>
      </c>
      <c r="E28" s="2" t="n">
        <v>7</v>
      </c>
      <c r="F28" s="2" t="n">
        <v>6</v>
      </c>
      <c r="G28" s="2" t="n">
        <v>15</v>
      </c>
      <c r="H28" s="2" t="n">
        <v>1</v>
      </c>
      <c r="I28" s="2" t="s">
        <v>176</v>
      </c>
      <c r="J28" s="2" t="n">
        <v>21</v>
      </c>
    </row>
    <row r="29" customFormat="false" ht="15" hidden="false" customHeight="true" outlineLevel="0" collapsed="false">
      <c r="A29" s="2" t="s">
        <v>124</v>
      </c>
      <c r="B29" s="2" t="s">
        <v>117</v>
      </c>
      <c r="C29" s="2" t="s">
        <v>73</v>
      </c>
      <c r="D29" s="2" t="n">
        <v>6</v>
      </c>
      <c r="E29" s="2" t="n">
        <v>8</v>
      </c>
      <c r="F29" s="2" t="n">
        <v>8</v>
      </c>
      <c r="G29" s="2" t="n">
        <v>17</v>
      </c>
      <c r="H29" s="2" t="n">
        <v>2</v>
      </c>
      <c r="I29" s="2" t="s">
        <v>177</v>
      </c>
      <c r="J29" s="2" t="n">
        <v>19</v>
      </c>
    </row>
    <row r="30" customFormat="false" ht="15" hidden="false" customHeight="true" outlineLevel="0" collapsed="false">
      <c r="A30" s="2" t="s">
        <v>125</v>
      </c>
      <c r="B30" s="2" t="s">
        <v>117</v>
      </c>
      <c r="C30" s="2" t="s">
        <v>73</v>
      </c>
      <c r="D30" s="2" t="n">
        <v>7</v>
      </c>
      <c r="E30" s="2" t="n">
        <v>9</v>
      </c>
      <c r="F30" s="2" t="n">
        <v>10</v>
      </c>
      <c r="G30" s="2" t="n">
        <v>18</v>
      </c>
      <c r="H30" s="2" t="n">
        <v>2</v>
      </c>
      <c r="I30" s="2" t="s">
        <v>184</v>
      </c>
      <c r="J30" s="2" t="n">
        <v>18</v>
      </c>
    </row>
    <row r="31" customFormat="false" ht="15" hidden="false" customHeight="true" outlineLevel="0" collapsed="false">
      <c r="A31" s="2" t="s">
        <v>126</v>
      </c>
      <c r="B31" s="2" t="s">
        <v>117</v>
      </c>
      <c r="C31" s="2" t="s">
        <v>73</v>
      </c>
      <c r="D31" s="2" t="n">
        <v>8</v>
      </c>
      <c r="E31" s="2" t="n">
        <v>10</v>
      </c>
      <c r="F31" s="2" t="n">
        <v>14</v>
      </c>
      <c r="G31" s="2" t="n">
        <v>26</v>
      </c>
      <c r="H31" s="2" t="n">
        <v>2</v>
      </c>
      <c r="I31" s="2" t="s">
        <v>185</v>
      </c>
      <c r="J31" s="2" t="n">
        <v>23</v>
      </c>
    </row>
    <row r="32" customFormat="false" ht="15" hidden="false" customHeight="true" outlineLevel="0" collapsed="false">
      <c r="A32" s="2" t="s">
        <v>127</v>
      </c>
      <c r="B32" s="2" t="s">
        <v>117</v>
      </c>
      <c r="C32" s="2" t="s">
        <v>73</v>
      </c>
      <c r="D32" s="2" t="n">
        <v>9</v>
      </c>
      <c r="E32" s="2" t="n">
        <v>10</v>
      </c>
      <c r="F32" s="2" t="n">
        <v>15</v>
      </c>
      <c r="G32" s="2" t="n">
        <v>35</v>
      </c>
      <c r="H32" s="2" t="n">
        <v>1</v>
      </c>
      <c r="I32" s="2" t="s">
        <v>176</v>
      </c>
      <c r="J32" s="2" t="n">
        <v>28</v>
      </c>
    </row>
    <row r="33" customFormat="false" ht="15" hidden="false" customHeight="true" outlineLevel="0" collapsed="false">
      <c r="A33" s="2" t="s">
        <v>128</v>
      </c>
      <c r="B33" s="2" t="s">
        <v>117</v>
      </c>
      <c r="C33" s="2" t="s">
        <v>73</v>
      </c>
      <c r="D33" s="2" t="n">
        <v>9</v>
      </c>
      <c r="E33" s="2" t="n">
        <v>10</v>
      </c>
      <c r="F33" s="2" t="n">
        <v>20</v>
      </c>
      <c r="G33" s="2" t="n">
        <v>30</v>
      </c>
      <c r="H33" s="2" t="n">
        <v>1</v>
      </c>
      <c r="I33" s="2" t="s">
        <v>175</v>
      </c>
      <c r="J33" s="2" t="n">
        <v>40</v>
      </c>
    </row>
    <row r="34" customFormat="false" ht="15" hidden="false" customHeight="true" outlineLevel="0" collapsed="false">
      <c r="A34" s="2" t="s">
        <v>129</v>
      </c>
      <c r="B34" s="2" t="s">
        <v>117</v>
      </c>
      <c r="C34" s="2" t="s">
        <v>186</v>
      </c>
      <c r="D34" s="2" t="n">
        <v>3</v>
      </c>
      <c r="E34" s="2" t="n">
        <v>6</v>
      </c>
      <c r="F34" s="2" t="n">
        <v>4</v>
      </c>
      <c r="G34" s="2" t="n">
        <v>12</v>
      </c>
      <c r="H34" s="2" t="n">
        <v>1</v>
      </c>
      <c r="I34" s="2" t="s">
        <v>175</v>
      </c>
      <c r="J34" s="2" t="n">
        <v>16</v>
      </c>
    </row>
    <row r="35" customFormat="false" ht="15" hidden="false" customHeight="true" outlineLevel="0" collapsed="false">
      <c r="A35" s="2" t="s">
        <v>130</v>
      </c>
      <c r="B35" s="2" t="s">
        <v>117</v>
      </c>
      <c r="C35" s="2" t="s">
        <v>186</v>
      </c>
      <c r="D35" s="2" t="n">
        <v>5</v>
      </c>
      <c r="E35" s="2" t="n">
        <v>8</v>
      </c>
      <c r="F35" s="2" t="n">
        <v>8</v>
      </c>
      <c r="G35" s="2" t="n">
        <v>22</v>
      </c>
      <c r="H35" s="2" t="n">
        <v>1</v>
      </c>
      <c r="I35" s="2" t="s">
        <v>175</v>
      </c>
      <c r="J35" s="2" t="n">
        <v>19</v>
      </c>
    </row>
    <row r="36" customFormat="false" ht="15" hidden="false" customHeight="true" outlineLevel="0" collapsed="false">
      <c r="A36" s="2" t="s">
        <v>131</v>
      </c>
      <c r="B36" s="2" t="s">
        <v>117</v>
      </c>
      <c r="C36" s="2" t="s">
        <v>186</v>
      </c>
      <c r="D36" s="2" t="n">
        <v>8</v>
      </c>
      <c r="E36" s="2" t="n">
        <v>10</v>
      </c>
      <c r="F36" s="2" t="n">
        <v>10</v>
      </c>
      <c r="G36" s="2" t="n">
        <v>32</v>
      </c>
      <c r="H36" s="2" t="n">
        <v>1</v>
      </c>
      <c r="I36" s="2" t="s">
        <v>175</v>
      </c>
      <c r="J36" s="2" t="n">
        <v>24</v>
      </c>
    </row>
    <row r="37" customFormat="false" ht="15" hidden="false" customHeight="true" outlineLevel="0" collapsed="false">
      <c r="A37" s="2" t="s">
        <v>132</v>
      </c>
      <c r="B37" s="2" t="s">
        <v>133</v>
      </c>
      <c r="C37" s="2" t="s">
        <v>62</v>
      </c>
      <c r="D37" s="2" t="n">
        <v>1</v>
      </c>
      <c r="E37" s="2" t="n">
        <v>3</v>
      </c>
      <c r="F37" s="2" t="n">
        <v>2</v>
      </c>
      <c r="G37" s="2" t="n">
        <v>7</v>
      </c>
      <c r="H37" s="2" t="n">
        <v>1</v>
      </c>
      <c r="I37" s="2" t="s">
        <v>178</v>
      </c>
      <c r="J37" s="2" t="n">
        <v>15</v>
      </c>
      <c r="L37" s="2" t="n">
        <v>2</v>
      </c>
    </row>
    <row r="38" customFormat="false" ht="15" hidden="false" customHeight="true" outlineLevel="0" collapsed="false">
      <c r="A38" s="2" t="s">
        <v>134</v>
      </c>
      <c r="B38" s="2" t="s">
        <v>133</v>
      </c>
      <c r="C38" s="2" t="s">
        <v>62</v>
      </c>
      <c r="D38" s="2" t="n">
        <v>3</v>
      </c>
      <c r="E38" s="2" t="n">
        <v>5</v>
      </c>
      <c r="F38" s="2" t="n">
        <v>5</v>
      </c>
      <c r="G38" s="2" t="n">
        <v>10</v>
      </c>
      <c r="H38" s="2" t="n">
        <v>1</v>
      </c>
      <c r="I38" s="2" t="s">
        <v>178</v>
      </c>
      <c r="J38" s="2" t="n">
        <v>16</v>
      </c>
    </row>
    <row r="39" customFormat="false" ht="15" hidden="false" customHeight="true" outlineLevel="0" collapsed="false">
      <c r="A39" s="2" t="s">
        <v>135</v>
      </c>
      <c r="B39" s="2" t="s">
        <v>133</v>
      </c>
      <c r="C39" s="2" t="s">
        <v>62</v>
      </c>
      <c r="D39" s="2" t="n">
        <v>5</v>
      </c>
      <c r="E39" s="2" t="n">
        <v>8</v>
      </c>
      <c r="F39" s="2" t="n">
        <v>8</v>
      </c>
      <c r="G39" s="2" t="n">
        <v>16</v>
      </c>
      <c r="H39" s="2" t="n">
        <v>1</v>
      </c>
      <c r="I39" s="2" t="s">
        <v>178</v>
      </c>
      <c r="J39" s="2" t="n">
        <v>26</v>
      </c>
    </row>
    <row r="40" customFormat="false" ht="15" hidden="false" customHeight="true" outlineLevel="0" collapsed="false">
      <c r="A40" s="2" t="s">
        <v>136</v>
      </c>
      <c r="B40" s="2" t="s">
        <v>133</v>
      </c>
      <c r="C40" s="2" t="s">
        <v>62</v>
      </c>
      <c r="D40" s="2" t="n">
        <v>8</v>
      </c>
      <c r="E40" s="2" t="n">
        <v>10</v>
      </c>
      <c r="F40" s="2" t="n">
        <v>12</v>
      </c>
      <c r="G40" s="2" t="n">
        <v>26</v>
      </c>
      <c r="H40" s="2" t="n">
        <v>1</v>
      </c>
      <c r="I40" s="2" t="s">
        <v>178</v>
      </c>
      <c r="J40" s="2" t="n">
        <v>25</v>
      </c>
    </row>
    <row r="41" customFormat="false" ht="15" hidden="false" customHeight="true" outlineLevel="0" collapsed="false">
      <c r="A41" s="2" t="s">
        <v>137</v>
      </c>
      <c r="B41" s="2" t="s">
        <v>133</v>
      </c>
      <c r="C41" s="2" t="s">
        <v>62</v>
      </c>
      <c r="D41" s="2" t="n">
        <v>7</v>
      </c>
      <c r="E41" s="2" t="n">
        <v>10</v>
      </c>
      <c r="F41" s="2" t="n">
        <v>10</v>
      </c>
      <c r="G41" s="2" t="n">
        <v>22</v>
      </c>
      <c r="H41" s="2" t="n">
        <v>1</v>
      </c>
      <c r="I41" s="2" t="s">
        <v>187</v>
      </c>
      <c r="J41" s="2" t="n">
        <v>11</v>
      </c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I3" activeCellId="0" sqref="I3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3.2"/>
    <col collapsed="false" customWidth="true" hidden="false" outlineLevel="0" max="2" min="2" style="2" width="11.05"/>
    <col collapsed="false" customWidth="true" hidden="false" outlineLevel="0" max="3" min="3" style="2" width="7.45"/>
    <col collapsed="false" customWidth="true" hidden="false" outlineLevel="0" max="4" min="4" style="2" width="7.74"/>
    <col collapsed="false" customWidth="true" hidden="false" outlineLevel="0" max="5" min="5" style="2" width="7"/>
    <col collapsed="false" customWidth="true" hidden="false" outlineLevel="0" max="6" min="6" style="2" width="7.29"/>
    <col collapsed="false" customWidth="true" hidden="false" outlineLevel="0" max="7" min="7" style="2" width="9.99"/>
    <col collapsed="false" customWidth="true" hidden="false" outlineLevel="0" max="8" min="8" style="2" width="9.54"/>
    <col collapsed="false" customWidth="true" hidden="false" outlineLevel="0" max="9" min="9" style="2" width="6.77"/>
    <col collapsed="false" customWidth="true" hidden="false" outlineLevel="0" max="10" min="10" style="2" width="7.62"/>
    <col collapsed="false" customWidth="true" hidden="false" outlineLevel="0" max="11" min="11" style="2" width="7.17"/>
    <col collapsed="false" customWidth="true" hidden="false" outlineLevel="0" max="12" min="12" style="2" width="6.77"/>
    <col collapsed="false" customWidth="true" hidden="false" outlineLevel="0" max="13" min="13" style="2" width="7.11"/>
  </cols>
  <sheetData>
    <row r="1" s="5" customFormat="true" ht="15" hidden="false" customHeight="true" outlineLevel="0" collapsed="false">
      <c r="A1" s="5" t="s">
        <v>32</v>
      </c>
      <c r="B1" s="5" t="s">
        <v>150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188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</row>
    <row r="2" customFormat="false" ht="13.5" hidden="false" customHeight="true" outlineLevel="0" collapsed="false">
      <c r="A2" s="2" t="s">
        <v>138</v>
      </c>
      <c r="B2" s="2" t="s">
        <v>140</v>
      </c>
      <c r="C2" s="2" t="n">
        <v>0</v>
      </c>
      <c r="D2" s="2" t="n">
        <v>0</v>
      </c>
      <c r="E2" s="2" t="n">
        <v>2</v>
      </c>
      <c r="F2" s="2" t="n">
        <v>2</v>
      </c>
      <c r="G2" s="2" t="s">
        <v>189</v>
      </c>
      <c r="H2" s="2" t="n">
        <v>8</v>
      </c>
    </row>
    <row r="3" customFormat="false" ht="13.5" hidden="false" customHeight="true" outlineLevel="0" collapsed="false">
      <c r="A3" s="2" t="s">
        <v>143</v>
      </c>
      <c r="B3" s="2" t="s">
        <v>140</v>
      </c>
      <c r="C3" s="2" t="n">
        <v>1</v>
      </c>
      <c r="D3" s="2" t="n">
        <v>3</v>
      </c>
      <c r="E3" s="2" t="n">
        <v>3</v>
      </c>
      <c r="F3" s="2" t="n">
        <v>5</v>
      </c>
      <c r="G3" s="2" t="s">
        <v>189</v>
      </c>
      <c r="H3" s="2" t="n">
        <v>16</v>
      </c>
      <c r="I3" s="2" t="n">
        <v>0</v>
      </c>
    </row>
    <row r="4" customFormat="false" ht="13.5" hidden="false" customHeight="true" outlineLevel="0" collapsed="false">
      <c r="A4" s="2" t="s">
        <v>144</v>
      </c>
      <c r="B4" s="2" t="s">
        <v>140</v>
      </c>
      <c r="C4" s="2" t="n">
        <v>2</v>
      </c>
      <c r="D4" s="2" t="n">
        <v>4</v>
      </c>
      <c r="E4" s="2" t="n">
        <v>10</v>
      </c>
      <c r="F4" s="2" t="n">
        <v>14</v>
      </c>
      <c r="G4" s="2" t="s">
        <v>190</v>
      </c>
      <c r="H4" s="2" t="n">
        <v>22</v>
      </c>
    </row>
    <row r="5" customFormat="false" ht="13.5" hidden="false" customHeight="true" outlineLevel="0" collapsed="false">
      <c r="A5" s="2" t="s">
        <v>139</v>
      </c>
      <c r="B5" s="2" t="s">
        <v>140</v>
      </c>
      <c r="C5" s="2" t="n">
        <v>3</v>
      </c>
      <c r="D5" s="2" t="n">
        <v>5</v>
      </c>
      <c r="E5" s="2" t="n">
        <v>9</v>
      </c>
      <c r="F5" s="2" t="n">
        <v>13</v>
      </c>
      <c r="G5" s="2" t="s">
        <v>189</v>
      </c>
      <c r="H5" s="2" t="n">
        <v>18</v>
      </c>
    </row>
    <row r="6" customFormat="false" ht="13.5" hidden="false" customHeight="true" outlineLevel="0" collapsed="false">
      <c r="A6" s="2" t="s">
        <v>148</v>
      </c>
      <c r="B6" s="2" t="s">
        <v>140</v>
      </c>
      <c r="C6" s="2" t="n">
        <v>4</v>
      </c>
      <c r="D6" s="2" t="n">
        <v>6</v>
      </c>
      <c r="E6" s="2" t="n">
        <v>16</v>
      </c>
      <c r="F6" s="2" t="n">
        <v>19</v>
      </c>
      <c r="G6" s="2" t="s">
        <v>191</v>
      </c>
      <c r="H6" s="2" t="n">
        <v>20</v>
      </c>
    </row>
    <row r="7" customFormat="false" ht="13.5" hidden="false" customHeight="true" outlineLevel="0" collapsed="false">
      <c r="A7" s="2" t="s">
        <v>145</v>
      </c>
      <c r="B7" s="2" t="s">
        <v>140</v>
      </c>
      <c r="C7" s="2" t="n">
        <v>5</v>
      </c>
      <c r="D7" s="2" t="n">
        <v>7</v>
      </c>
      <c r="E7" s="2" t="n">
        <v>15</v>
      </c>
      <c r="F7" s="2" t="n">
        <v>18</v>
      </c>
      <c r="G7" s="2" t="s">
        <v>190</v>
      </c>
      <c r="H7" s="2" t="n">
        <v>18</v>
      </c>
    </row>
    <row r="8" customFormat="false" ht="13.5" hidden="false" customHeight="true" outlineLevel="0" collapsed="false">
      <c r="A8" s="2" t="s">
        <v>141</v>
      </c>
      <c r="B8" s="2" t="s">
        <v>140</v>
      </c>
      <c r="C8" s="2" t="n">
        <v>5</v>
      </c>
      <c r="D8" s="2" t="n">
        <v>6</v>
      </c>
      <c r="E8" s="2" t="n">
        <v>13</v>
      </c>
      <c r="F8" s="2" t="n">
        <v>15</v>
      </c>
      <c r="G8" s="2" t="s">
        <v>189</v>
      </c>
      <c r="H8" s="2" t="n">
        <v>15</v>
      </c>
    </row>
    <row r="9" customFormat="false" ht="13.5" hidden="false" customHeight="true" outlineLevel="0" collapsed="false">
      <c r="A9" s="2" t="s">
        <v>146</v>
      </c>
      <c r="B9" s="2" t="s">
        <v>140</v>
      </c>
      <c r="C9" s="2" t="n">
        <v>6</v>
      </c>
      <c r="D9" s="2" t="n">
        <v>8</v>
      </c>
      <c r="E9" s="2" t="n">
        <v>19</v>
      </c>
      <c r="F9" s="2" t="n">
        <v>23</v>
      </c>
      <c r="G9" s="2" t="s">
        <v>190</v>
      </c>
      <c r="H9" s="2" t="n">
        <v>24</v>
      </c>
    </row>
    <row r="10" customFormat="false" ht="13.5" hidden="false" customHeight="true" outlineLevel="0" collapsed="false">
      <c r="A10" s="2" t="s">
        <v>149</v>
      </c>
      <c r="B10" s="2" t="s">
        <v>140</v>
      </c>
      <c r="C10" s="2" t="n">
        <v>7</v>
      </c>
      <c r="D10" s="2" t="n">
        <v>10</v>
      </c>
      <c r="E10" s="2" t="n">
        <v>21</v>
      </c>
      <c r="F10" s="2" t="n">
        <v>28</v>
      </c>
      <c r="G10" s="2" t="s">
        <v>191</v>
      </c>
      <c r="H10" s="2" t="n">
        <v>25</v>
      </c>
    </row>
    <row r="11" customFormat="false" ht="13.5" hidden="false" customHeight="true" outlineLevel="0" collapsed="false">
      <c r="A11" s="2" t="s">
        <v>142</v>
      </c>
      <c r="B11" s="2" t="s">
        <v>140</v>
      </c>
      <c r="C11" s="2" t="n">
        <v>8</v>
      </c>
      <c r="D11" s="2" t="n">
        <v>10</v>
      </c>
      <c r="E11" s="2" t="n">
        <v>21</v>
      </c>
      <c r="F11" s="2" t="n">
        <v>24</v>
      </c>
      <c r="G11" s="2" t="s">
        <v>189</v>
      </c>
      <c r="H11" s="2" t="n">
        <v>28</v>
      </c>
    </row>
    <row r="12" customFormat="false" ht="13.5" hidden="false" customHeight="true" outlineLevel="0" collapsed="false">
      <c r="A12" s="2" t="s">
        <v>147</v>
      </c>
      <c r="B12" s="2" t="s">
        <v>140</v>
      </c>
      <c r="C12" s="2" t="n">
        <v>8</v>
      </c>
      <c r="D12" s="2" t="n">
        <v>10</v>
      </c>
      <c r="E12" s="2" t="n">
        <v>25</v>
      </c>
      <c r="F12" s="2" t="n">
        <v>28</v>
      </c>
      <c r="G12" s="2" t="s">
        <v>190</v>
      </c>
      <c r="H12" s="2" t="n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15"/>
    <col collapsed="false" customWidth="true" hidden="false" outlineLevel="0" max="3" min="3" style="2" width="14"/>
    <col collapsed="false" customWidth="true" hidden="false" outlineLevel="0" max="11" min="4" style="2" width="10"/>
  </cols>
  <sheetData>
    <row r="1" s="5" customFormat="true" ht="15" hidden="false" customHeight="true" outlineLevel="0" collapsed="false">
      <c r="A1" s="5" t="s">
        <v>32</v>
      </c>
      <c r="B1" s="5" t="s">
        <v>33</v>
      </c>
      <c r="C1" s="5" t="s">
        <v>150</v>
      </c>
      <c r="D1" s="5" t="s">
        <v>151</v>
      </c>
      <c r="E1" s="5" t="s">
        <v>152</v>
      </c>
      <c r="F1" s="5" t="s">
        <v>156</v>
      </c>
      <c r="G1" s="5" t="s">
        <v>157</v>
      </c>
      <c r="H1" s="5" t="s">
        <v>158</v>
      </c>
      <c r="I1" s="5" t="s">
        <v>159</v>
      </c>
      <c r="J1" s="5" t="s">
        <v>160</v>
      </c>
      <c r="K1" s="5" t="s">
        <v>161</v>
      </c>
    </row>
    <row r="2" customFormat="false" ht="15" hidden="false" customHeight="true" outlineLevel="0" collapsed="false">
      <c r="A2" s="2" t="s">
        <v>192</v>
      </c>
      <c r="B2" s="2" t="s">
        <v>192</v>
      </c>
      <c r="C2" s="2" t="s">
        <v>193</v>
      </c>
      <c r="D2" s="2" t="n">
        <v>3</v>
      </c>
      <c r="E2" s="2" t="n">
        <v>10</v>
      </c>
    </row>
    <row r="3" customFormat="false" ht="15" hidden="false" customHeight="true" outlineLevel="0" collapsed="false">
      <c r="A3" s="2" t="s">
        <v>194</v>
      </c>
      <c r="B3" s="2" t="s">
        <v>194</v>
      </c>
      <c r="C3" s="2" t="s">
        <v>193</v>
      </c>
      <c r="D3" s="2" t="n">
        <v>3</v>
      </c>
      <c r="E3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Q15" activeCellId="0" sqref="Q15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2" min="2" style="2" width="11"/>
    <col collapsed="false" customWidth="true" hidden="false" outlineLevel="0" max="3" min="3" style="2" width="23"/>
    <col collapsed="false" customWidth="true" hidden="false" outlineLevel="0" max="4" min="4" style="2" width="17"/>
    <col collapsed="false" customWidth="true" hidden="false" outlineLevel="0" max="5" min="5" style="2" width="22"/>
    <col collapsed="false" customWidth="true" hidden="false" outlineLevel="0" max="6" min="6" style="2" width="18"/>
    <col collapsed="false" customWidth="true" hidden="false" outlineLevel="0" max="7" min="7" style="2" width="16"/>
    <col collapsed="false" customWidth="true" hidden="false" outlineLevel="0" max="8" min="8" style="2" width="25"/>
    <col collapsed="false" customWidth="true" hidden="false" outlineLevel="0" max="9" min="9" style="2" width="16"/>
    <col collapsed="false" customWidth="true" hidden="false" outlineLevel="0" max="10" min="10" style="2" width="17"/>
    <col collapsed="false" customWidth="true" hidden="false" outlineLevel="0" max="11" min="11" style="2" width="15"/>
    <col collapsed="false" customWidth="true" hidden="false" outlineLevel="0" max="12" min="12" style="2" width="18"/>
    <col collapsed="false" customWidth="true" hidden="false" outlineLevel="0" max="13" min="13" style="2" width="17"/>
    <col collapsed="false" customWidth="true" hidden="false" outlineLevel="0" max="14" min="14" style="2" width="11"/>
    <col collapsed="false" customWidth="true" hidden="false" outlineLevel="0" max="16" min="15" style="2" width="19"/>
    <col collapsed="false" customWidth="true" hidden="false" outlineLevel="0" max="17" min="17" style="2" width="26"/>
  </cols>
  <sheetData>
    <row r="1" s="5" customFormat="true" ht="15" hidden="false" customHeight="true" outlineLevel="0" collapsed="false">
      <c r="A1" s="5" t="s">
        <v>150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  <c r="O1" s="5" t="s">
        <v>208</v>
      </c>
      <c r="P1" s="5" t="s">
        <v>209</v>
      </c>
      <c r="Q1" s="5" t="s">
        <v>210</v>
      </c>
    </row>
    <row r="2" customFormat="false" ht="15" hidden="false" customHeight="true" outlineLevel="0" collapsed="false">
      <c r="A2" s="2" t="s">
        <v>174</v>
      </c>
      <c r="D2" s="2" t="n">
        <v>5</v>
      </c>
      <c r="E2" s="2" t="n">
        <v>5</v>
      </c>
      <c r="F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n">
        <v>5</v>
      </c>
      <c r="O2" s="2" t="n">
        <v>5</v>
      </c>
      <c r="P2" s="2" t="n">
        <v>5</v>
      </c>
    </row>
    <row r="3" customFormat="false" ht="15" hidden="false" customHeight="true" outlineLevel="0" collapsed="false">
      <c r="A3" s="2" t="s">
        <v>73</v>
      </c>
      <c r="D3" s="2" t="n">
        <v>5</v>
      </c>
      <c r="E3" s="2" t="n">
        <v>5</v>
      </c>
      <c r="F3" s="2" t="n">
        <v>5</v>
      </c>
      <c r="H3" s="2" t="n">
        <v>5</v>
      </c>
      <c r="I3" s="2" t="n">
        <v>5</v>
      </c>
      <c r="J3" s="2" t="n">
        <v>5</v>
      </c>
      <c r="K3" s="2" t="n">
        <v>5</v>
      </c>
      <c r="L3" s="2" t="n">
        <v>5</v>
      </c>
      <c r="M3" s="2" t="n">
        <v>5</v>
      </c>
      <c r="O3" s="2" t="n">
        <v>5</v>
      </c>
      <c r="P3" s="2" t="n">
        <v>5</v>
      </c>
    </row>
    <row r="4" customFormat="false" ht="15" hidden="false" customHeight="true" outlineLevel="0" collapsed="false">
      <c r="A4" s="2" t="s">
        <v>186</v>
      </c>
      <c r="B4" s="2" t="n">
        <v>5</v>
      </c>
      <c r="F4" s="2" t="n">
        <v>5</v>
      </c>
      <c r="I4" s="2" t="n">
        <v>5</v>
      </c>
      <c r="K4" s="2" t="n">
        <v>5</v>
      </c>
      <c r="M4" s="2" t="n">
        <v>5</v>
      </c>
      <c r="P4" s="2" t="n">
        <v>5</v>
      </c>
    </row>
    <row r="5" customFormat="false" ht="15" hidden="false" customHeight="true" outlineLevel="0" collapsed="false">
      <c r="A5" s="2" t="s">
        <v>62</v>
      </c>
      <c r="D5" s="2" t="n">
        <v>5</v>
      </c>
      <c r="E5" s="2" t="n">
        <v>5</v>
      </c>
      <c r="F5" s="2" t="n">
        <v>5</v>
      </c>
      <c r="G5" s="2" t="n">
        <v>5</v>
      </c>
      <c r="H5" s="2" t="n">
        <v>5</v>
      </c>
      <c r="I5" s="2" t="n">
        <v>5</v>
      </c>
      <c r="J5" s="2" t="n">
        <v>5</v>
      </c>
      <c r="K5" s="2" t="n">
        <v>5</v>
      </c>
      <c r="L5" s="2" t="n">
        <v>5</v>
      </c>
      <c r="M5" s="2" t="n">
        <v>5</v>
      </c>
      <c r="O5" s="2" t="n">
        <v>5</v>
      </c>
      <c r="P5" s="2" t="n">
        <v>5</v>
      </c>
    </row>
    <row r="6" customFormat="false" ht="15" hidden="false" customHeight="true" outlineLevel="0" collapsed="false">
      <c r="A6" s="2" t="s">
        <v>162</v>
      </c>
      <c r="B6" s="2" t="n">
        <v>5</v>
      </c>
      <c r="C6" s="2" t="n">
        <v>5</v>
      </c>
      <c r="G6" s="2" t="n">
        <v>3</v>
      </c>
      <c r="I6" s="2" t="n">
        <v>3</v>
      </c>
      <c r="J6" s="2" t="n">
        <v>5</v>
      </c>
      <c r="K6" s="2" t="n">
        <v>5</v>
      </c>
      <c r="L6" s="2" t="n">
        <v>3</v>
      </c>
      <c r="M6" s="2" t="n">
        <v>5</v>
      </c>
      <c r="N6" s="2" t="n">
        <v>5</v>
      </c>
      <c r="P6" s="2" t="n">
        <v>5</v>
      </c>
      <c r="Q6" s="2" t="n">
        <v>5</v>
      </c>
    </row>
    <row r="7" customFormat="false" ht="15" hidden="false" customHeight="true" outlineLevel="0" collapsed="false">
      <c r="A7" s="2" t="s">
        <v>164</v>
      </c>
      <c r="B7" s="2" t="n">
        <v>3</v>
      </c>
      <c r="C7" s="2" t="n">
        <v>5</v>
      </c>
      <c r="G7" s="2" t="n">
        <v>5</v>
      </c>
      <c r="I7" s="2" t="n">
        <v>5</v>
      </c>
      <c r="J7" s="2" t="n">
        <v>5</v>
      </c>
      <c r="K7" s="2" t="n">
        <v>3</v>
      </c>
      <c r="L7" s="2" t="n">
        <v>5</v>
      </c>
      <c r="M7" s="2" t="n">
        <v>5</v>
      </c>
      <c r="N7" s="2" t="n">
        <v>5</v>
      </c>
      <c r="P7" s="2" t="n">
        <v>5</v>
      </c>
      <c r="Q7" s="2" t="n">
        <v>5</v>
      </c>
    </row>
    <row r="8" customFormat="false" ht="15" hidden="false" customHeight="true" outlineLevel="0" collapsed="false">
      <c r="A8" s="2" t="s">
        <v>166</v>
      </c>
      <c r="B8" s="2" t="n">
        <v>5</v>
      </c>
      <c r="C8" s="2" t="n">
        <v>5</v>
      </c>
      <c r="G8" s="2" t="n">
        <v>5</v>
      </c>
      <c r="I8" s="2" t="n">
        <v>5</v>
      </c>
      <c r="J8" s="2" t="n">
        <v>5</v>
      </c>
      <c r="K8" s="2" t="n">
        <v>5</v>
      </c>
      <c r="L8" s="2" t="n">
        <v>5</v>
      </c>
      <c r="M8" s="2" t="n">
        <v>5</v>
      </c>
      <c r="N8" s="2" t="n">
        <v>5</v>
      </c>
      <c r="P8" s="2" t="n">
        <v>5</v>
      </c>
      <c r="Q8" s="2" t="n">
        <v>5</v>
      </c>
    </row>
    <row r="9" customFormat="false" ht="15" hidden="false" customHeight="true" outlineLevel="0" collapsed="false">
      <c r="A9" s="2" t="s">
        <v>168</v>
      </c>
      <c r="B9" s="2" t="n">
        <v>3</v>
      </c>
      <c r="C9" s="2" t="n">
        <v>5</v>
      </c>
      <c r="J9" s="2" t="n">
        <v>5</v>
      </c>
      <c r="K9" s="2" t="n">
        <v>3</v>
      </c>
      <c r="L9" s="2" t="n">
        <v>3</v>
      </c>
      <c r="M9" s="2" t="n">
        <v>5</v>
      </c>
      <c r="N9" s="2" t="n">
        <v>5</v>
      </c>
      <c r="P9" s="2" t="n">
        <v>5</v>
      </c>
      <c r="Q9" s="2" t="n">
        <v>5</v>
      </c>
    </row>
    <row r="10" customFormat="false" ht="15" hidden="false" customHeight="true" outlineLevel="0" collapsed="false">
      <c r="A10" s="2" t="s">
        <v>163</v>
      </c>
      <c r="B10" s="2" t="n">
        <v>5</v>
      </c>
      <c r="C10" s="2" t="n">
        <v>5</v>
      </c>
      <c r="G10" s="2" t="n">
        <v>3</v>
      </c>
      <c r="I10" s="2" t="n">
        <v>3</v>
      </c>
      <c r="J10" s="2" t="n">
        <v>5</v>
      </c>
      <c r="K10" s="2" t="n">
        <v>5</v>
      </c>
      <c r="L10" s="2" t="n">
        <v>3</v>
      </c>
      <c r="M10" s="2" t="n">
        <v>5</v>
      </c>
      <c r="N10" s="2" t="n">
        <v>5</v>
      </c>
      <c r="P10" s="2" t="n">
        <v>5</v>
      </c>
      <c r="Q10" s="2" t="n">
        <v>5</v>
      </c>
    </row>
    <row r="11" customFormat="false" ht="15" hidden="false" customHeight="true" outlineLevel="0" collapsed="false">
      <c r="A11" s="2" t="s">
        <v>165</v>
      </c>
      <c r="B11" s="2" t="n">
        <v>3</v>
      </c>
      <c r="C11" s="2" t="n">
        <v>5</v>
      </c>
      <c r="D11" s="2" t="n">
        <v>5</v>
      </c>
      <c r="G11" s="2" t="n">
        <v>5</v>
      </c>
      <c r="I11" s="2" t="n">
        <v>5</v>
      </c>
      <c r="J11" s="2" t="n">
        <v>5</v>
      </c>
      <c r="K11" s="2" t="n">
        <v>3</v>
      </c>
      <c r="L11" s="2" t="n">
        <v>5</v>
      </c>
      <c r="M11" s="2" t="n">
        <v>5</v>
      </c>
      <c r="N11" s="2" t="n">
        <v>5</v>
      </c>
      <c r="P11" s="2" t="n">
        <v>5</v>
      </c>
      <c r="Q11" s="2" t="n">
        <v>5</v>
      </c>
    </row>
    <row r="12" customFormat="false" ht="15" hidden="false" customHeight="true" outlineLevel="0" collapsed="false">
      <c r="A12" s="2" t="s">
        <v>167</v>
      </c>
      <c r="B12" s="2" t="n">
        <v>5</v>
      </c>
      <c r="C12" s="2" t="n">
        <v>5</v>
      </c>
      <c r="F12" s="2" t="n">
        <v>5</v>
      </c>
      <c r="G12" s="2" t="n">
        <v>5</v>
      </c>
      <c r="I12" s="2" t="n">
        <v>5</v>
      </c>
      <c r="J12" s="2" t="n">
        <v>5</v>
      </c>
      <c r="K12" s="2" t="n">
        <v>5</v>
      </c>
      <c r="L12" s="2" t="n">
        <v>5</v>
      </c>
      <c r="M12" s="2" t="n">
        <v>5</v>
      </c>
      <c r="N12" s="2" t="n">
        <v>5</v>
      </c>
      <c r="P12" s="2" t="n">
        <v>5</v>
      </c>
      <c r="Q12" s="2" t="n">
        <v>5</v>
      </c>
    </row>
    <row r="13" customFormat="false" ht="15" hidden="false" customHeight="true" outlineLevel="0" collapsed="false">
      <c r="A13" s="2" t="s">
        <v>169</v>
      </c>
      <c r="B13" s="2" t="n">
        <v>3</v>
      </c>
      <c r="C13" s="2" t="n">
        <v>5</v>
      </c>
      <c r="H13" s="2" t="n">
        <v>5</v>
      </c>
      <c r="J13" s="2" t="n">
        <v>5</v>
      </c>
      <c r="K13" s="2" t="n">
        <v>3</v>
      </c>
      <c r="L13" s="2" t="n">
        <v>3</v>
      </c>
      <c r="M13" s="2" t="n">
        <v>5</v>
      </c>
      <c r="N13" s="2" t="n">
        <v>5</v>
      </c>
      <c r="P13" s="2" t="n">
        <v>5</v>
      </c>
      <c r="Q13" s="2" t="n">
        <v>5</v>
      </c>
    </row>
    <row r="14" customFormat="false" ht="15" hidden="false" customHeight="true" outlineLevel="0" collapsed="false">
      <c r="A14" s="2" t="s">
        <v>140</v>
      </c>
      <c r="B14" s="2" t="n">
        <v>5</v>
      </c>
      <c r="C14" s="2" t="n">
        <v>5</v>
      </c>
      <c r="G14" s="2" t="n">
        <v>5</v>
      </c>
      <c r="I14" s="2" t="n">
        <v>3</v>
      </c>
      <c r="J14" s="2" t="n">
        <v>5</v>
      </c>
      <c r="K14" s="2" t="n">
        <v>5</v>
      </c>
      <c r="L14" s="2" t="n">
        <v>5</v>
      </c>
      <c r="M14" s="2" t="n">
        <v>5</v>
      </c>
      <c r="N14" s="2" t="n">
        <v>5</v>
      </c>
      <c r="P14" s="2" t="n">
        <v>5</v>
      </c>
      <c r="Q14" s="2" t="n">
        <v>5</v>
      </c>
    </row>
    <row r="15" customFormat="false" ht="15" hidden="false" customHeight="true" outlineLevel="0" collapsed="false">
      <c r="A15" s="2" t="s">
        <v>193</v>
      </c>
      <c r="B15" s="2" t="n">
        <v>5</v>
      </c>
      <c r="D15" s="2" t="n">
        <v>5</v>
      </c>
      <c r="F15" s="2" t="n">
        <v>5</v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0"/>
    <col collapsed="false" customWidth="true" hidden="false" outlineLevel="0" max="2" min="2" style="2" width="11"/>
    <col collapsed="false" customWidth="true" hidden="false" outlineLevel="0" max="3" min="3" style="2" width="10"/>
  </cols>
  <sheetData>
    <row r="1" s="5" customFormat="true" ht="15" hidden="false" customHeight="true" outlineLevel="0" collapsed="false">
      <c r="A1" s="5" t="s">
        <v>32</v>
      </c>
      <c r="B1" s="5" t="s">
        <v>211</v>
      </c>
      <c r="C1" s="5" t="s">
        <v>212</v>
      </c>
    </row>
    <row r="2" customFormat="false" ht="15" hidden="false" customHeight="true" outlineLevel="0" collapsed="false">
      <c r="A2" s="2" t="s">
        <v>141</v>
      </c>
      <c r="B2" s="2" t="s">
        <v>213</v>
      </c>
      <c r="C2" s="2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G5" activeCellId="0" sqref="G5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2" width="10"/>
    <col collapsed="false" customWidth="true" hidden="false" outlineLevel="0" max="3" min="3" style="2" width="11"/>
    <col collapsed="false" customWidth="true" hidden="false" outlineLevel="0" max="7" min="4" style="2" width="10"/>
    <col collapsed="false" customWidth="true" hidden="false" outlineLevel="0" max="8" min="8" style="2" width="12"/>
    <col collapsed="false" customWidth="true" hidden="false" outlineLevel="0" max="9" min="9" style="2" width="18"/>
    <col collapsed="false" customWidth="true" hidden="false" outlineLevel="0" max="13" min="10" style="2" width="10"/>
  </cols>
  <sheetData>
    <row r="1" s="5" customFormat="true" ht="15" hidden="false" customHeight="true" outlineLevel="0" collapsed="false">
      <c r="A1" s="5" t="s">
        <v>214</v>
      </c>
      <c r="B1" s="5" t="s">
        <v>72</v>
      </c>
      <c r="C1" s="5" t="s">
        <v>61</v>
      </c>
      <c r="D1" s="5" t="s">
        <v>46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</row>
    <row r="2" customFormat="false" ht="15" hidden="false" customHeight="true" outlineLevel="0" collapsed="false">
      <c r="A2" s="2" t="s">
        <v>63</v>
      </c>
      <c r="G2" s="2" t="n">
        <v>1</v>
      </c>
      <c r="J2" s="2" t="n">
        <v>80</v>
      </c>
      <c r="L2" s="2" t="n">
        <v>20</v>
      </c>
      <c r="M2" s="2" t="n">
        <v>2</v>
      </c>
    </row>
    <row r="3" customFormat="false" ht="15" hidden="false" customHeight="true" outlineLevel="0" collapsed="false">
      <c r="A3" s="2" t="s">
        <v>48</v>
      </c>
      <c r="G3" s="2" t="n">
        <v>1</v>
      </c>
      <c r="J3" s="2" t="n">
        <v>90</v>
      </c>
      <c r="L3" s="2" t="n">
        <v>18</v>
      </c>
      <c r="M3" s="2" t="n">
        <v>3</v>
      </c>
    </row>
    <row r="4" customFormat="false" ht="15" hidden="false" customHeight="true" outlineLevel="0" collapsed="false">
      <c r="A4" s="2" t="s">
        <v>47</v>
      </c>
      <c r="G4" s="2" t="n">
        <v>1</v>
      </c>
      <c r="J4" s="2" t="n">
        <v>78</v>
      </c>
      <c r="L4" s="2" t="n">
        <v>15</v>
      </c>
      <c r="M4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2" width="10"/>
    <col collapsed="false" customWidth="true" hidden="false" outlineLevel="0" max="3" min="3" style="2" width="11"/>
    <col collapsed="false" customWidth="true" hidden="false" outlineLevel="0" max="7" min="4" style="2" width="10"/>
    <col collapsed="false" customWidth="true" hidden="false" outlineLevel="0" max="8" min="8" style="2" width="12"/>
    <col collapsed="false" customWidth="true" hidden="false" outlineLevel="0" max="9" min="9" style="2" width="18"/>
    <col collapsed="false" customWidth="true" hidden="false" outlineLevel="0" max="13" min="10" style="2" width="10"/>
  </cols>
  <sheetData>
    <row r="1" s="5" customFormat="true" ht="15" hidden="false" customHeight="true" outlineLevel="0" collapsed="false">
      <c r="A1" s="5" t="s">
        <v>214</v>
      </c>
      <c r="B1" s="5" t="s">
        <v>72</v>
      </c>
      <c r="C1" s="5" t="s">
        <v>61</v>
      </c>
      <c r="D1" s="5" t="s">
        <v>46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</row>
    <row r="2" customFormat="false" ht="15" hidden="false" customHeight="true" outlineLevel="0" collapsed="false">
      <c r="A2" s="2" t="s">
        <v>63</v>
      </c>
      <c r="B2" s="2" t="n">
        <v>2.5</v>
      </c>
      <c r="C2" s="2" t="n">
        <v>1.5</v>
      </c>
      <c r="D2" s="2" t="n">
        <v>0.5</v>
      </c>
      <c r="E2" s="2" t="n">
        <v>1.75</v>
      </c>
      <c r="F2" s="2" t="n">
        <v>0.75</v>
      </c>
      <c r="L2" s="2" t="n">
        <v>2</v>
      </c>
      <c r="M2" s="2" t="n">
        <v>1</v>
      </c>
    </row>
    <row r="3" customFormat="false" ht="15" hidden="false" customHeight="true" outlineLevel="0" collapsed="false">
      <c r="A3" s="2" t="s">
        <v>48</v>
      </c>
      <c r="B3" s="2" t="n">
        <v>1.25</v>
      </c>
      <c r="C3" s="2" t="n">
        <v>2.5</v>
      </c>
      <c r="D3" s="2" t="n">
        <v>0.75</v>
      </c>
      <c r="E3" s="2" t="n">
        <v>1</v>
      </c>
      <c r="F3" s="2" t="n">
        <v>1.5</v>
      </c>
      <c r="L3" s="2" t="n">
        <v>1.5</v>
      </c>
      <c r="M3" s="2" t="n">
        <v>1.5</v>
      </c>
    </row>
    <row r="4" customFormat="false" ht="15" hidden="false" customHeight="true" outlineLevel="0" collapsed="false">
      <c r="A4" s="2" t="s">
        <v>47</v>
      </c>
      <c r="B4" s="2" t="n">
        <v>1</v>
      </c>
      <c r="C4" s="2" t="n">
        <v>1.75</v>
      </c>
      <c r="D4" s="2" t="n">
        <v>2.5</v>
      </c>
      <c r="E4" s="2" t="n">
        <v>1</v>
      </c>
      <c r="F4" s="2" t="n">
        <v>0.75</v>
      </c>
      <c r="L4" s="2" t="n">
        <v>1</v>
      </c>
      <c r="M4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3"/>
    <col collapsed="false" customWidth="true" hidden="false" outlineLevel="0" max="2" min="2" style="2" width="10"/>
    <col collapsed="false" customWidth="true" hidden="false" outlineLevel="0" max="3" min="3" style="2" width="11"/>
    <col collapsed="false" customWidth="true" hidden="false" outlineLevel="0" max="7" min="4" style="2" width="10"/>
    <col collapsed="false" customWidth="true" hidden="false" outlineLevel="0" max="8" min="8" style="2" width="12"/>
    <col collapsed="false" customWidth="true" hidden="false" outlineLevel="0" max="9" min="9" style="2" width="18"/>
    <col collapsed="false" customWidth="true" hidden="false" outlineLevel="0" max="13" min="10" style="2" width="10"/>
  </cols>
  <sheetData>
    <row r="1" s="5" customFormat="true" ht="15" hidden="false" customHeight="true" outlineLevel="0" collapsed="false">
      <c r="A1" s="5" t="s">
        <v>224</v>
      </c>
      <c r="B1" s="5" t="s">
        <v>72</v>
      </c>
      <c r="C1" s="5" t="s">
        <v>61</v>
      </c>
      <c r="D1" s="5" t="s">
        <v>46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</row>
    <row r="2" customFormat="false" ht="15" hidden="false" customHeight="true" outlineLevel="0" collapsed="false">
      <c r="A2" s="2" t="s">
        <v>225</v>
      </c>
      <c r="B2" s="2" t="n">
        <v>100</v>
      </c>
      <c r="E2" s="2" t="n">
        <v>1</v>
      </c>
      <c r="G2" s="2" t="n">
        <v>2</v>
      </c>
      <c r="H2" s="2" t="n">
        <v>0</v>
      </c>
      <c r="J2" s="2" t="n">
        <v>70</v>
      </c>
      <c r="L2" s="2" t="n">
        <v>4</v>
      </c>
    </row>
    <row r="3" customFormat="false" ht="15" hidden="false" customHeight="true" outlineLevel="0" collapsed="false">
      <c r="A3" s="2" t="s">
        <v>226</v>
      </c>
      <c r="D3" s="2" t="n">
        <v>4</v>
      </c>
      <c r="E3" s="2" t="n">
        <v>1.5</v>
      </c>
      <c r="G3" s="2" t="n">
        <v>1</v>
      </c>
      <c r="J3" s="2" t="n">
        <v>60</v>
      </c>
      <c r="L3" s="2" t="n">
        <v>3</v>
      </c>
    </row>
    <row r="4" customFormat="false" ht="15" hidden="false" customHeight="true" outlineLevel="0" collapsed="false">
      <c r="A4" s="2" t="s">
        <v>227</v>
      </c>
      <c r="B4" s="2" t="n">
        <v>20</v>
      </c>
      <c r="C4" s="2" t="n">
        <v>20</v>
      </c>
      <c r="D4" s="2" t="n">
        <v>6</v>
      </c>
      <c r="G4" s="2" t="n">
        <v>5</v>
      </c>
      <c r="J4" s="2" t="n">
        <v>0</v>
      </c>
      <c r="K4" s="2" t="n">
        <v>0</v>
      </c>
      <c r="L4" s="2" t="n">
        <v>40</v>
      </c>
    </row>
    <row r="5" customFormat="false" ht="15" hidden="false" customHeight="true" outlineLevel="0" collapsed="false">
      <c r="A5" s="2" t="s">
        <v>228</v>
      </c>
      <c r="D5" s="2" t="n">
        <v>8</v>
      </c>
      <c r="E5" s="2" t="n">
        <v>1</v>
      </c>
      <c r="G5" s="2" t="n">
        <v>1</v>
      </c>
      <c r="J5" s="2" t="n">
        <v>100</v>
      </c>
      <c r="L5" s="2" t="n">
        <v>1</v>
      </c>
    </row>
    <row r="6" customFormat="false" ht="15" hidden="false" customHeight="true" outlineLevel="0" collapsed="false">
      <c r="A6" s="2" t="s">
        <v>229</v>
      </c>
      <c r="G6" s="2" t="n">
        <v>10</v>
      </c>
      <c r="L6" s="2" t="n">
        <v>3</v>
      </c>
    </row>
    <row r="7" customFormat="false" ht="15" hidden="false" customHeight="true" outlineLevel="0" collapsed="false">
      <c r="A7" s="2" t="s">
        <v>230</v>
      </c>
      <c r="B7" s="2" t="n">
        <v>2</v>
      </c>
      <c r="C7" s="2" t="n">
        <v>7</v>
      </c>
      <c r="E7" s="2" t="n">
        <v>1.5</v>
      </c>
      <c r="F7" s="2" t="n">
        <v>2</v>
      </c>
      <c r="G7" s="2" t="n">
        <v>2</v>
      </c>
      <c r="J7" s="2" t="n">
        <v>80</v>
      </c>
      <c r="L7" s="2" t="n">
        <v>35</v>
      </c>
      <c r="M7" s="2" t="n">
        <v>2</v>
      </c>
    </row>
    <row r="8" customFormat="false" ht="15" hidden="false" customHeight="true" outlineLevel="0" collapsed="false">
      <c r="A8" s="2" t="s">
        <v>231</v>
      </c>
      <c r="B8" s="2" t="n">
        <v>2</v>
      </c>
      <c r="C8" s="2" t="n">
        <v>4</v>
      </c>
      <c r="D8" s="2" t="n">
        <v>0</v>
      </c>
      <c r="E8" s="2" t="n">
        <v>1.5</v>
      </c>
      <c r="F8" s="2" t="n">
        <v>0</v>
      </c>
      <c r="G8" s="2" t="n">
        <v>1</v>
      </c>
      <c r="J8" s="2" t="n">
        <v>80</v>
      </c>
      <c r="L8" s="2" t="n">
        <v>5</v>
      </c>
      <c r="M8" s="2" t="n">
        <v>0</v>
      </c>
    </row>
    <row r="9" customFormat="false" ht="15" hidden="false" customHeight="true" outlineLevel="0" collapsed="false">
      <c r="A9" s="2" t="s">
        <v>232</v>
      </c>
      <c r="B9" s="2" t="n">
        <v>50</v>
      </c>
      <c r="E9" s="2" t="n">
        <v>0</v>
      </c>
      <c r="G9" s="2" t="n">
        <v>1</v>
      </c>
      <c r="H9" s="2" t="n">
        <v>0</v>
      </c>
      <c r="J9" s="2" t="n">
        <v>55</v>
      </c>
      <c r="L9" s="2" t="n">
        <v>7</v>
      </c>
    </row>
    <row r="10" customFormat="false" ht="15" hidden="false" customHeight="true" outlineLevel="0" collapsed="false">
      <c r="A10" s="2" t="s">
        <v>233</v>
      </c>
      <c r="B10" s="2" t="n">
        <v>2</v>
      </c>
      <c r="E10" s="2" t="n">
        <v>2</v>
      </c>
      <c r="G10" s="2" t="n">
        <v>1</v>
      </c>
      <c r="H10" s="2" t="n">
        <v>0</v>
      </c>
      <c r="J10" s="2" t="n">
        <v>70</v>
      </c>
      <c r="L10" s="2" t="n">
        <v>1</v>
      </c>
    </row>
    <row r="11" customFormat="false" ht="15" hidden="false" customHeight="true" outlineLevel="0" collapsed="false">
      <c r="A11" s="2" t="s">
        <v>234</v>
      </c>
      <c r="B11" s="2" t="n">
        <v>4</v>
      </c>
      <c r="C11" s="2" t="n">
        <v>1</v>
      </c>
      <c r="E11" s="2" t="n">
        <v>2</v>
      </c>
      <c r="G11" s="2" t="n">
        <v>1</v>
      </c>
      <c r="H11" s="2" t="n">
        <v>0</v>
      </c>
      <c r="J11" s="2" t="n">
        <v>70</v>
      </c>
      <c r="L11" s="2" t="n">
        <v>2</v>
      </c>
    </row>
    <row r="12" customFormat="false" ht="15" hidden="false" customHeight="true" outlineLevel="0" collapsed="false">
      <c r="A12" s="2" t="s">
        <v>235</v>
      </c>
      <c r="B12" s="2" t="n">
        <v>1</v>
      </c>
      <c r="C12" s="2" t="n">
        <v>2</v>
      </c>
      <c r="E12" s="2" t="n">
        <v>0</v>
      </c>
      <c r="G12" s="2" t="n">
        <v>2</v>
      </c>
      <c r="H12" s="2" t="n">
        <v>0</v>
      </c>
      <c r="J12" s="2" t="n">
        <v>65</v>
      </c>
      <c r="L12" s="2" t="n">
        <v>1.5</v>
      </c>
    </row>
    <row r="13" customFormat="false" ht="13.5" hidden="false" customHeight="true" outlineLevel="0" collapsed="false">
      <c r="A13" s="2" t="s">
        <v>236</v>
      </c>
      <c r="B13" s="2" t="n">
        <v>5</v>
      </c>
      <c r="C13" s="2" t="n">
        <v>5</v>
      </c>
      <c r="D13" s="2" t="n">
        <v>0</v>
      </c>
      <c r="E13" s="2" t="n">
        <v>3</v>
      </c>
      <c r="F13" s="2" t="n">
        <v>2</v>
      </c>
      <c r="H13" s="2" t="n">
        <v>1.5</v>
      </c>
      <c r="J13" s="2" t="n">
        <v>70</v>
      </c>
      <c r="K13" s="2" t="n">
        <v>3</v>
      </c>
      <c r="L13" s="2" t="n">
        <v>70</v>
      </c>
      <c r="M1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3359375" defaultRowHeight="15" zeroHeight="false" outlineLevelRow="0" outlineLevelCol="0"/>
  <cols>
    <col collapsed="false" customWidth="true" hidden="false" outlineLevel="0" max="1" min="1" style="2" width="13"/>
    <col collapsed="false" customWidth="true" hidden="false" outlineLevel="0" max="2" min="2" style="2" width="10"/>
    <col collapsed="false" customWidth="true" hidden="false" outlineLevel="0" max="3" min="3" style="2" width="11"/>
    <col collapsed="false" customWidth="true" hidden="false" outlineLevel="0" max="7" min="4" style="2" width="10"/>
    <col collapsed="false" customWidth="true" hidden="false" outlineLevel="0" max="8" min="8" style="2" width="12"/>
    <col collapsed="false" customWidth="true" hidden="false" outlineLevel="0" max="9" min="9" style="2" width="18"/>
    <col collapsed="false" customWidth="true" hidden="false" outlineLevel="0" max="13" min="10" style="2" width="10"/>
  </cols>
  <sheetData>
    <row r="1" s="5" customFormat="true" ht="15" hidden="false" customHeight="true" outlineLevel="0" collapsed="false">
      <c r="A1" s="5" t="s">
        <v>224</v>
      </c>
      <c r="B1" s="5" t="s">
        <v>72</v>
      </c>
      <c r="C1" s="5" t="s">
        <v>61</v>
      </c>
      <c r="D1" s="5" t="s">
        <v>46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</row>
    <row r="2" customFormat="false" ht="15" hidden="false" customHeight="true" outlineLevel="0" collapsed="false">
      <c r="A2" s="2" t="s">
        <v>225</v>
      </c>
      <c r="B2" s="2" t="n">
        <v>7</v>
      </c>
      <c r="C2" s="2" t="n">
        <v>8</v>
      </c>
      <c r="E2" s="2" t="n">
        <v>1.5</v>
      </c>
      <c r="F2" s="2" t="n">
        <v>2</v>
      </c>
      <c r="H2" s="2" t="n">
        <v>4.5</v>
      </c>
      <c r="K2" s="2" t="n">
        <v>10</v>
      </c>
      <c r="L2" s="2" t="n">
        <v>4.5</v>
      </c>
      <c r="M2" s="2" t="n">
        <v>0</v>
      </c>
    </row>
    <row r="3" customFormat="false" ht="15" hidden="false" customHeight="true" outlineLevel="0" collapsed="false">
      <c r="A3" s="2" t="s">
        <v>226</v>
      </c>
      <c r="D3" s="2" t="n">
        <v>10</v>
      </c>
      <c r="E3" s="2" t="n">
        <v>1.5</v>
      </c>
      <c r="F3" s="2" t="n">
        <v>1.5</v>
      </c>
      <c r="H3" s="2" t="n">
        <v>2.5</v>
      </c>
      <c r="K3" s="2" t="n">
        <v>1</v>
      </c>
      <c r="L3" s="2" t="n">
        <v>4.5</v>
      </c>
    </row>
    <row r="4" customFormat="false" ht="15" hidden="false" customHeight="true" outlineLevel="0" collapsed="false">
      <c r="A4" s="2" t="s">
        <v>227</v>
      </c>
      <c r="D4" s="2" t="n">
        <v>14</v>
      </c>
      <c r="F4" s="2" t="n">
        <v>1.5</v>
      </c>
      <c r="K4" s="2" t="n">
        <v>0</v>
      </c>
      <c r="L4" s="2" t="n">
        <v>0</v>
      </c>
    </row>
    <row r="5" customFormat="false" ht="15" hidden="false" customHeight="true" outlineLevel="0" collapsed="false">
      <c r="A5" s="2" t="s">
        <v>228</v>
      </c>
      <c r="D5" s="2" t="n">
        <v>6</v>
      </c>
      <c r="E5" s="2" t="n">
        <v>1</v>
      </c>
      <c r="F5" s="2" t="n">
        <v>1.5</v>
      </c>
      <c r="L5" s="2" t="n">
        <v>22</v>
      </c>
    </row>
    <row r="6" customFormat="false" ht="15" hidden="false" customHeight="true" outlineLevel="0" collapsed="false">
      <c r="A6" s="2" t="s">
        <v>229</v>
      </c>
      <c r="G6" s="2" t="n">
        <v>10</v>
      </c>
    </row>
    <row r="7" customFormat="false" ht="15" hidden="false" customHeight="true" outlineLevel="0" collapsed="false">
      <c r="A7" s="2" t="s">
        <v>230</v>
      </c>
      <c r="B7" s="2" t="n">
        <v>8</v>
      </c>
      <c r="C7" s="2" t="n">
        <v>6</v>
      </c>
      <c r="E7" s="2" t="n">
        <v>1.5</v>
      </c>
      <c r="F7" s="2" t="n">
        <v>2</v>
      </c>
      <c r="H7" s="2" t="n">
        <v>7.5</v>
      </c>
      <c r="K7" s="2" t="n">
        <v>12</v>
      </c>
      <c r="L7" s="2" t="n">
        <v>4.5</v>
      </c>
      <c r="M7" s="2" t="n">
        <v>0</v>
      </c>
    </row>
    <row r="8" customFormat="false" ht="15" hidden="false" customHeight="true" outlineLevel="0" collapsed="false">
      <c r="A8" s="2" t="s">
        <v>231</v>
      </c>
      <c r="B8" s="2" t="n">
        <v>3</v>
      </c>
      <c r="C8" s="2" t="n">
        <v>3</v>
      </c>
      <c r="D8" s="2" t="n">
        <v>2</v>
      </c>
      <c r="E8" s="2" t="n">
        <v>0.5</v>
      </c>
      <c r="F8" s="2" t="n">
        <v>1</v>
      </c>
      <c r="H8" s="2" t="n">
        <v>2</v>
      </c>
      <c r="K8" s="2" t="n">
        <v>6</v>
      </c>
      <c r="L8" s="2" t="n">
        <v>3.5</v>
      </c>
      <c r="M8" s="2" t="n">
        <v>0</v>
      </c>
    </row>
    <row r="9" customFormat="false" ht="15" hidden="false" customHeight="true" outlineLevel="0" collapsed="false">
      <c r="A9" s="2" t="s">
        <v>232</v>
      </c>
      <c r="B9" s="2" t="n">
        <v>5</v>
      </c>
      <c r="C9" s="2" t="n">
        <v>3</v>
      </c>
      <c r="E9" s="2" t="n">
        <v>2.5</v>
      </c>
      <c r="F9" s="2" t="n">
        <v>2</v>
      </c>
      <c r="H9" s="2" t="n">
        <v>4.5</v>
      </c>
      <c r="K9" s="2" t="n">
        <v>2</v>
      </c>
      <c r="L9" s="2" t="n">
        <v>4.5</v>
      </c>
      <c r="M9" s="2" t="n">
        <v>0</v>
      </c>
    </row>
    <row r="10" customFormat="false" ht="15" hidden="false" customHeight="true" outlineLevel="0" collapsed="false">
      <c r="A10" s="2" t="s">
        <v>233</v>
      </c>
      <c r="B10" s="2" t="n">
        <v>4</v>
      </c>
      <c r="C10" s="2" t="n">
        <v>4</v>
      </c>
      <c r="E10" s="2" t="n">
        <v>2</v>
      </c>
      <c r="F10" s="2" t="n">
        <v>2</v>
      </c>
      <c r="H10" s="2" t="n">
        <v>7.5</v>
      </c>
      <c r="K10" s="2" t="n">
        <v>2</v>
      </c>
      <c r="L10" s="2" t="n">
        <v>3.5</v>
      </c>
      <c r="M10" s="2" t="n">
        <v>0</v>
      </c>
    </row>
    <row r="11" customFormat="false" ht="15" hidden="false" customHeight="true" outlineLevel="0" collapsed="false">
      <c r="A11" s="2" t="s">
        <v>234</v>
      </c>
      <c r="B11" s="2" t="n">
        <v>4</v>
      </c>
      <c r="C11" s="2" t="n">
        <v>5</v>
      </c>
      <c r="D11" s="2" t="n">
        <v>2</v>
      </c>
      <c r="E11" s="2" t="n">
        <v>2</v>
      </c>
      <c r="F11" s="2" t="n">
        <v>2</v>
      </c>
      <c r="H11" s="2" t="n">
        <v>7.5</v>
      </c>
      <c r="K11" s="2" t="n">
        <v>2</v>
      </c>
      <c r="L11" s="2" t="n">
        <v>3.5</v>
      </c>
      <c r="M11" s="2" t="n">
        <v>0</v>
      </c>
    </row>
    <row r="12" customFormat="false" ht="15" hidden="false" customHeight="true" outlineLevel="0" collapsed="false">
      <c r="A12" s="2" t="s">
        <v>235</v>
      </c>
      <c r="B12" s="2" t="n">
        <v>2</v>
      </c>
      <c r="C12" s="2" t="n">
        <v>5</v>
      </c>
      <c r="D12" s="2" t="n">
        <v>2</v>
      </c>
      <c r="E12" s="2" t="n">
        <v>1</v>
      </c>
      <c r="F12" s="2" t="n">
        <v>3</v>
      </c>
      <c r="H12" s="2" t="n">
        <v>1.5</v>
      </c>
      <c r="K12" s="2" t="n">
        <v>3</v>
      </c>
      <c r="L12" s="2" t="n">
        <v>1.5</v>
      </c>
      <c r="M12" s="2" t="n">
        <v>0</v>
      </c>
    </row>
    <row r="13" customFormat="false" ht="15" hidden="false" customHeight="true" outlineLevel="0" collapsed="false">
      <c r="A13" s="2" t="s">
        <v>236</v>
      </c>
      <c r="B13" s="2" t="n">
        <v>5</v>
      </c>
      <c r="C13" s="2" t="n">
        <v>5</v>
      </c>
      <c r="D13" s="2" t="n">
        <v>0</v>
      </c>
      <c r="E13" s="2" t="n">
        <v>3</v>
      </c>
      <c r="F13" s="2" t="n">
        <v>2</v>
      </c>
      <c r="H13" s="2" t="n">
        <v>1.5</v>
      </c>
      <c r="K13" s="2" t="n">
        <v>3</v>
      </c>
      <c r="L13" s="2" t="n">
        <v>3.5</v>
      </c>
      <c r="M1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10713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2026-08-01T20:26:07Z</dcterms:created>
  <dc:creator>Unknown</dc:creator>
  <dc:description/>
  <dc:language>en-US</dc:language>
  <cp:lastModifiedBy/>
  <dcterms:modified xsi:type="dcterms:W3CDTF">2026-09-05T18:12:15Z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