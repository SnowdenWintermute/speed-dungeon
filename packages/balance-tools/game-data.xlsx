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alancing" sheetId="1" state="visible" r:id="rId2"/>
    <sheet name="equipment-armor" sheetId="2" state="visible" r:id="rId3"/>
    <sheet name="equipment-weapons" sheetId="3" state="visible" r:id="rId4"/>
    <sheet name="equipment-shields" sheetId="4" state="visible" r:id="rId5"/>
    <sheet name="equipment-jewelry" sheetId="5" state="visible" r:id="rId6"/>
    <sheet name="equipment-affix-profiles" sheetId="6" state="visible" r:id="rId7"/>
    <sheet name="equipment-affix-overrides" sheetId="7" state="visible" r:id="rId8"/>
    <sheet name="class-starting-attributes" sheetId="8" state="visible" r:id="rId9"/>
    <sheet name="class-attributes-per-level" sheetId="9" state="visible" r:id="rId10"/>
    <sheet name="monster-starting-attributes" sheetId="10" state="visible" r:id="rId11"/>
    <sheet name="monster-attributes-per-level" sheetId="11" state="visible" r:id="rId12"/>
  </sheets>
  <definedNames>
    <definedName function="false" hidden="false" name="ArmorClassModifier" vbProcedure="false">balancing!$B$8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<sst xmlns="http://schemas.openxmlformats.org/spreadsheetml/2006/main" count="533" uniqueCount="203">
  <si>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</si>
  <si>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</si>
  <si>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</si>
  <si>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</si>
  <si>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</si>
  <si>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</si>
  <si>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</si>
  <si>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</si>
  <si>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</si>
  <si>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</si>
  <si>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Average Hit</t>
  </si>
  <si>
    <t xml:space="preserve">Shields</t>
  </si>
  <si>
    <t xml:space="preserve">Average</t>
  </si>
  <si>
    <t xml:space="preserve">With Shield</t>
  </si>
  <si>
    <t xml:space="preserve">baseItem</t>
  </si>
  <si>
    <t xml:space="preserve">equipmentType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</si>
  <si>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</si>
  <si>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</si>
  <si>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</si>
  <si>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</si>
  <si>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</si>
  <si>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</si>
  <si>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</si>
  <si>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</si>
  <si>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</si>
  <si>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</si>
  <si>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</si>
  <si>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</si>
  <si>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Rags</t>
  </si>
  <si>
    <t xml:space="preserve">BodyArmor</t>
  </si>
  <si>
    <t xml:space="preserve">BodyArmorCloth</t>
  </si>
  <si>
    <t xml:space="preserve">Cloak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</si>
  <si>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</si>
  <si>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</si>
  <si>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</si>
  <si>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</si>
  <si>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</si>
  <si>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HeadGearCloth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</si>
  <si>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</si>
  <si>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</si>
  <si>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</si>
  <si>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</si>
  <si>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</si>
  <si>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BodyArmorLeather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</si>
  <si>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</si>
  <si>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</si>
  <si>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</si>
  <si>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</si>
  <si>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HeadGearLeather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</si>
  <si>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</si>
  <si>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</si>
  <si>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</si>
  <si>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</si>
  <si>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BodyArmorMail</t>
  </si>
  <si>
    <t xml:space="preserve">ChainMail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</si>
  <si>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</si>
  <si>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</si>
  <si>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</si>
  <si>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</si>
  <si>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HeadGearMail</t>
  </si>
  <si>
    <t xml:space="preserve">Skullcap</t>
  </si>
  <si>
    <t xml:space="preserve">Coif</t>
  </si>
  <si>
    <t xml:space="preserve">OhmushellMask</t>
  </si>
  <si>
    <t xml:space="preserve">BreastPlate</t>
  </si>
  <si>
    <t xml:space="preserve">BodyArmorPlate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</si>
  <si>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</si>
  <si>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</si>
  <si>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</si>
  <si>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</si>
  <si>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HeadGearPlate</t>
  </si>
  <si>
    <t xml:space="preserve">Crown</t>
  </si>
  <si>
    <t xml:space="preserve">FullHelm</t>
  </si>
  <si>
    <t xml:space="preserve">GreatHelm</t>
  </si>
  <si>
    <t xml:space="preserve">minDmg</t>
  </si>
  <si>
    <t xml:space="preserve">maxDmg</t>
  </si>
  <si>
    <t xml:space="preserve">damageClassificationsCount</t>
  </si>
  <si>
    <t xml:space="preserve">damageClassifications</t>
  </si>
  <si>
    <t xml:space="preserve">Stick</t>
  </si>
  <si>
    <t xml:space="preserve">OneHandedMeleeWeapon</t>
  </si>
  <si>
    <t xml:space="preserve">OneHandedMelee</t>
  </si>
  <si>
    <t xml:space="preserve">Physical:Blunt</t>
  </si>
  <si>
    <t xml:space="preserve">Club</t>
  </si>
  <si>
    <t xml:space="preserve">Mace</t>
  </si>
  <si>
    <t xml:space="preserve">Morningstar</t>
  </si>
  <si>
    <t xml:space="preserve">WarHammer</t>
  </si>
  <si>
    <t xml:space="preserve">ButterKnife</t>
  </si>
  <si>
    <t xml:space="preserve">Physical:Slashing</t>
  </si>
  <si>
    <t xml:space="preserve">ShortSword</t>
  </si>
  <si>
    <t xml:space="preserve">Blade</t>
  </si>
  <si>
    <t xml:space="preserve">BroadSword</t>
  </si>
  <si>
    <t xml:space="preserve">BastardSword</t>
  </si>
  <si>
    <t xml:space="preserve">Physical:Slashing|Physical:Piercing</t>
  </si>
  <si>
    <t xml:space="preserve">Dagger</t>
  </si>
  <si>
    <t xml:space="preserve">Rapier</t>
  </si>
  <si>
    <t xml:space="preserve">Physical:Piercing</t>
  </si>
  <si>
    <t xml:space="preserve">ShortSpear</t>
  </si>
  <si>
    <t xml:space="preserve">RuneSword</t>
  </si>
  <si>
    <t xml:space="preserve">Physical:Slashing:Fire|Physical:Slashing:Ice|Physical:Slashing:Lightning|Physical:Slashing:Water|Physical:Slashing:Earth|Physical:Slashing:Wind</t>
  </si>
  <si>
    <t xml:space="preserve">EtherBlade</t>
  </si>
  <si>
    <t xml:space="preserve">Magical:Slashing</t>
  </si>
  <si>
    <t xml:space="preserve">IceBlade</t>
  </si>
  <si>
    <t xml:space="preserve">Physical:Slashing:Ice</t>
  </si>
  <si>
    <t xml:space="preserve">MapleWand</t>
  </si>
  <si>
    <t xml:space="preserve">Magical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</si>
  <si>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</si>
  <si>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</si>
  <si>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</si>
  <si>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</si>
  <si>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</si>
  <si>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TwoHandedMelee</t>
  </si>
  <si>
    <t xml:space="preserve">BoStaff</t>
  </si>
  <si>
    <t xml:space="preserve">Spear</t>
  </si>
  <si>
    <t xml:space="preserve">Bardiche</t>
  </si>
  <si>
    <t xml:space="preserve">SplittingMaul</t>
  </si>
  <si>
    <t xml:space="preserve">Physical:Slashing|Physical:Blunt</t>
  </si>
  <si>
    <t xml:space="preserve">Maul</t>
  </si>
  <si>
    <t xml:space="preserve">BattleAxe</t>
  </si>
  <si>
    <t xml:space="preserve">Glaive</t>
  </si>
  <si>
    <t xml:space="preserve">ElementalStaff</t>
  </si>
  <si>
    <t xml:space="preserve">Physical:Blunt:Fire|Physical:Blunt:Ice|Physical:Blunt:Lightning|Physical:Blunt:Water|Physical:Blunt:Earth|Physical:Blunt:Wind</t>
  </si>
  <si>
    <t xml:space="preserve">Trident</t>
  </si>
  <si>
    <t xml:space="preserve">Magical:none:Water|Physical:Piercing</t>
  </si>
  <si>
    <t xml:space="preserve">GreatAxe</t>
  </si>
  <si>
    <t xml:space="preserve">GravityHammer</t>
  </si>
  <si>
    <t xml:space="preserve">ElmStaff</t>
  </si>
  <si>
    <t xml:space="preserve">TwoHandedMeleeCaster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</si>
  <si>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</si>
  <si>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</si>
  <si>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</si>
  <si>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</si>
  <si>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TwoHandedRanged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</si>
  <si>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</si>
  <si>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</si>
  <si>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</si>
  <si>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</si>
  <si>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</si>
  <si>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</si>
  <si>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</si>
  <si>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</si>
  <si>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</si>
  <si>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</si>
  <si>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</si>
  <si>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</si>
  <si>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</si>
  <si>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</si>
  <si>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</si>
  <si>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</si>
  <si>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</si>
  <si>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</si>
  <si>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</si>
  <si>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</si>
  <si>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</si>
  <si>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</si>
  <si>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</si>
  <si>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</si>
  <si>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</si>
  <si>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</si>
  <si>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</si>
  <si>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</si>
  <si>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</si>
  <si>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</si>
  <si>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</si>
  <si>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</si>
  <si>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</si>
  <si>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</si>
  <si>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</si>
  <si>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</si>
  <si>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</si>
  <si>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</si>
  <si>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</si>
  <si>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</si>
  <si>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</si>
  <si>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</si>
  <si>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</si>
  <si>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</si>
  <si>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Strength</t>
  </si>
  <si>
    <t xml:space="preserve">Dexterity</t>
  </si>
  <si>
    <t xml:space="preserve">Spirit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</si>
  <si>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</si>
  <si>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</si>
  <si>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</si>
  <si>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</si>
  <si>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</si>
  <si>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</si>
  <si>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</si>
  <si>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</si>
  <si>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</si>
  <si>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Warrior</t>
  </si>
  <si>
    <t xml:space="preserve">Rogue</t>
  </si>
  <si>
    <t xml:space="preserve">Mage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</si>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</sst>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8" activeCellId="0" sqref="B8"/>
    </sheetView>
  </sheetViews>
  <sheetFormatPr defaultColWidth="11.53515625" defaultRowHeight="12.75" zeroHeight="false" outlineLevelRow="0" outlineLevelCol="0"/>
  <cols>
    <col collapsed="false" customWidth="true" hidden="false" outlineLevel="0" max="3" min="3" style="1" width="10.25"/>
  </cols>
  <sheetData>
    <row r="1" customFormat="false" ht="13.5" hidden="false" customHeight="true" outlineLevel="0" collapsed="false">
      <c r="B1" s="1" t="s">
        <v>0</v>
      </c>
      <c r="C1" s="1" t="s">
        <v>1</v>
      </c>
      <c r="D1" s="1" t="s">
        <v>2</v>
      </c>
      <c r="E1" s="1" t="s">
        <v>3</v>
      </c>
    </row>
    <row r="2" customFormat="false" ht="13.5" hidden="false" customHeight="true" outlineLevel="0" collapsed="false">
      <c r="A2" s="1" t="s">
        <v>4</v>
      </c>
      <c r="C2" s="1" t="n">
        <f aca="false">SUM('equipment-armor'!G24,'equipment-armor'!G30)</f>
        <v>12</v>
      </c>
      <c r="D2" s="1" t="n">
        <f aca="false">SUM('equipment-armor'!G14,'equipment-armor'!G19)</f>
        <v>9</v>
      </c>
      <c r="E2" s="1" t="n">
        <f aca="false">SUM('equipment-armor'!G2,'equipment-armor'!G8)</f>
        <v>5</v>
      </c>
    </row>
    <row r="3" customFormat="false" ht="13.5" hidden="false" customHeight="true" outlineLevel="0" collapsed="false">
      <c r="A3" s="1" t="s">
        <v>5</v>
      </c>
      <c r="B3" s="1" t="n">
        <f aca="false">SUM('equipment-armor'!G35,'equipment-armor'!G40)</f>
        <v>19</v>
      </c>
      <c r="C3" s="1" t="n">
        <f aca="false">SUM('equipment-armor'!G25,'equipment-armor'!G31)</f>
        <v>28</v>
      </c>
      <c r="D3" s="1" t="n">
        <f aca="false">SUM('equipment-armor'!G15,'equipment-armor'!G20)</f>
        <v>12</v>
      </c>
      <c r="E3" s="1" t="n">
        <f aca="false">SUM('equipment-armor'!G3,'equipment-armor'!G9)</f>
        <v>9</v>
      </c>
    </row>
    <row r="4" customFormat="false" ht="13.5" hidden="false" customHeight="true" outlineLevel="0" collapsed="false">
      <c r="A4" s="1" t="s">
        <v>6</v>
      </c>
      <c r="B4" s="1" t="n">
        <f aca="false">SUM('equipment-armor'!G36,'equipment-armor'!G41)</f>
        <v>32</v>
      </c>
      <c r="C4" s="1" t="n">
        <f aca="false">SUM('equipment-armor'!G26,'equipment-armor'!G32)</f>
        <v>35</v>
      </c>
      <c r="D4" s="1" t="n">
        <f aca="false">SUM('equipment-armor'!G16,'equipment-armor'!G21)</f>
        <v>20</v>
      </c>
      <c r="E4" s="1" t="n">
        <f aca="false">SUM('equipment-armor'!G4,'equipment-armor'!G10)</f>
        <v>14</v>
      </c>
    </row>
    <row r="5" customFormat="false" ht="13.5" hidden="false" customHeight="true" outlineLevel="0" collapsed="false">
      <c r="A5" s="1" t="s">
        <v>7</v>
      </c>
      <c r="B5" s="1" t="n">
        <f aca="false">SUM('equipment-armor'!G37,'equipment-armor'!G42)</f>
        <v>43</v>
      </c>
      <c r="C5" s="1" t="n">
        <f aca="false">SUM('equipment-armor'!G27,'equipment-armor'!G33)</f>
        <v>43</v>
      </c>
      <c r="D5" s="1" t="n">
        <f aca="false">SUM('equipment-armor'!G17,'equipment-armor'!G22)</f>
        <v>33</v>
      </c>
      <c r="E5" s="1" t="n">
        <f aca="false">SUM('equipment-armor'!G5,'equipment-armor'!G11)</f>
        <v>13</v>
      </c>
    </row>
    <row r="6" customFormat="false" ht="13.5" hidden="false" customHeight="true" outlineLevel="0" collapsed="false">
      <c r="A6" s="1" t="s">
        <v>8</v>
      </c>
      <c r="B6" s="1" t="n">
        <f aca="false">SUM('equipment-armor'!G38,'equipment-armor'!G43)</f>
        <v>52</v>
      </c>
      <c r="C6" s="1" t="n">
        <f aca="false">SUM('equipment-armor'!G28,'equipment-armor'!G33)</f>
        <v>44</v>
      </c>
      <c r="D6" s="1" t="n">
        <f aca="false">SUM('equipment-armor'!G18,'equipment-armor'!G23)</f>
        <v>0</v>
      </c>
      <c r="E6" s="1" t="n">
        <f aca="false">SUM('equipment-armor'!G6,'equipment-armor'!G12)</f>
        <v>34</v>
      </c>
    </row>
    <row r="7" customFormat="false" ht="13.5" hidden="false" customHeight="true" outlineLevel="0" collapsed="false"/>
    <row r="8" customFormat="false" ht="13.5" hidden="false" customHeight="true" outlineLevel="0" collapsed="false">
      <c r="A8" s="1" t="s">
        <v>9</v>
      </c>
      <c r="B8" s="1" t="n">
        <v>2.5</v>
      </c>
    </row>
    <row r="9" customFormat="false" ht="13.5" hidden="false" customHeight="true" outlineLevel="0" collapsed="false">
      <c r="F9" s="1" t="s">
        <v>10</v>
      </c>
      <c r="G9" s="1" t="s">
        <v>0</v>
      </c>
      <c r="H9" s="1" t="s">
        <v>1</v>
      </c>
      <c r="I9" s="1" t="s">
        <v>2</v>
      </c>
      <c r="J9" s="1" t="s">
        <v>3</v>
      </c>
    </row>
    <row r="10" customFormat="false" ht="13.5" hidden="false" customHeight="true" outlineLevel="0" collapsed="false">
      <c r="A10" s="0" t="s">
        <v>11</v>
      </c>
      <c r="B10" s="0" t="s">
        <v>12</v>
      </c>
      <c r="F10" s="1" t="n">
        <v>5</v>
      </c>
      <c r="G10" s="1"/>
      <c r="H10" s="1" t="n">
        <f aca="false">DAMAGEAFTERAC(F10,C2, ArmorClassModifier)</f>
        <v>2</v>
      </c>
      <c r="I10" s="1" t="n">
        <f aca="false">DAMAGEAFTERAC(F10,D2, ArmorClassModifier)</f>
        <v>2</v>
      </c>
      <c r="J10" s="1" t="n">
        <f aca="false">DAMAGEAFTERAC(F10,E2, ArmorClassModifier)</f>
        <v>3</v>
      </c>
    </row>
    <row r="11" customFormat="false" ht="13.5" hidden="false" customHeight="true" outlineLevel="0" collapsed="false">
      <c r="A11" s="0" t="n">
        <f aca="false">'equipment-shields'!F2</f>
        <v>2</v>
      </c>
      <c r="F11" s="1" t="n">
        <v>10</v>
      </c>
      <c r="G11" s="1" t="n">
        <f aca="false">DAMAGEAFTERAC(F11,B3, ArmorClassModifier)</f>
        <v>5</v>
      </c>
      <c r="H11" s="1" t="n">
        <f aca="false">DAMAGEAFTERAC(F11,C3, ArmorClassModifier)</f>
        <v>4</v>
      </c>
      <c r="I11" s="1" t="n">
        <f aca="false">DAMAGEAFTERAC(F11,D3, ArmorClassModifier)</f>
        <v>6</v>
      </c>
      <c r="J11" s="1" t="n">
        <f aca="false">DAMAGEAFTERAC(F11,E3, ArmorClassModifier)</f>
        <v>7</v>
      </c>
    </row>
    <row r="12" customFormat="false" ht="13.5" hidden="false" customHeight="true" outlineLevel="0" collapsed="false">
      <c r="A12" s="0" t="n">
        <f aca="false">'equipment-shields'!F3</f>
        <v>5</v>
      </c>
      <c r="B12" s="0" t="n">
        <v>4</v>
      </c>
      <c r="F12" s="1" t="n">
        <v>18</v>
      </c>
      <c r="G12" s="1" t="n">
        <f aca="false">DAMAGEAFTERAC(F12,B4, ArmorClassModifier)</f>
        <v>10</v>
      </c>
      <c r="H12" s="1" t="n">
        <f aca="false">DAMAGEAFTERAC(F12,C4, ArmorClassModifier)</f>
        <v>10</v>
      </c>
      <c r="I12" s="1" t="n">
        <f aca="false">DAMAGEAFTERAC(F12,D4, ArmorClassModifier)</f>
        <v>12</v>
      </c>
      <c r="J12" s="1" t="n">
        <f aca="false">DAMAGEAFTERAC(F12,E4, ArmorClassModifier)</f>
        <v>13</v>
      </c>
    </row>
    <row r="13" customFormat="false" ht="13.5" hidden="false" customHeight="true" outlineLevel="0" collapsed="false">
      <c r="A13" s="0" t="n">
        <f aca="false">'equipment-shields'!F4</f>
        <v>14</v>
      </c>
      <c r="F13" s="1" t="n">
        <v>30</v>
      </c>
      <c r="G13" s="1" t="n">
        <f aca="false">DAMAGEAFTERAC(F13,B5, ArmorClassModifier)</f>
        <v>19</v>
      </c>
      <c r="H13" s="1"/>
      <c r="I13" s="1" t="n">
        <f aca="false">DAMAGEAFTERAC(F13,D5, ArmorClassModifier)</f>
        <v>20</v>
      </c>
      <c r="J13" s="1" t="n">
        <f aca="false">DAMAGEAFTERAC(F13,E5, ArmorClassModifier)</f>
        <v>25</v>
      </c>
    </row>
    <row r="14" customFormat="false" ht="13.5" hidden="false" customHeight="true" outlineLevel="0" collapsed="false">
      <c r="A14" s="0" t="n">
        <f aca="false">'equipment-shields'!F5</f>
        <v>13</v>
      </c>
      <c r="B14" s="0" t="n">
        <v>14</v>
      </c>
      <c r="F14" s="1" t="n">
        <v>50</v>
      </c>
      <c r="G14" s="1" t="n">
        <f aca="false">DAMAGEAFTERAC(F14,B6, ArmorClassModifier )</f>
        <v>35</v>
      </c>
      <c r="H14" s="1" t="n">
        <f aca="false">DAMAGEAFTERAC(F14,C6, ArmorClassModifier)</f>
        <v>36</v>
      </c>
      <c r="I14" s="1"/>
      <c r="J14" s="1" t="n">
        <f aca="false">DAMAGEAFTERAC(F14,E6, ArmorClassModifier)</f>
        <v>39</v>
      </c>
    </row>
    <row r="15" customFormat="false" ht="13.5" hidden="false" customHeight="true" outlineLevel="0" collapsed="false">
      <c r="A15" s="0" t="n">
        <f aca="false">'equipment-shields'!F6</f>
        <v>19</v>
      </c>
    </row>
    <row r="16" customFormat="false" ht="13.5" hidden="false" customHeight="true" outlineLevel="0" collapsed="false">
      <c r="A16" s="0" t="n">
        <f aca="false">'equipment-shields'!F7</f>
        <v>18</v>
      </c>
      <c r="B16" s="0" t="n">
        <v>18</v>
      </c>
      <c r="G16" s="0" t="s">
        <v>13</v>
      </c>
    </row>
    <row r="17" customFormat="false" ht="13.5" hidden="false" customHeight="true" outlineLevel="0" collapsed="false">
      <c r="A17" s="0" t="n">
        <f aca="false">'equipment-shields'!F8</f>
        <v>15</v>
      </c>
      <c r="F17" s="1" t="s">
        <v>10</v>
      </c>
      <c r="G17" s="1" t="s">
        <v>0</v>
      </c>
      <c r="H17" s="1" t="s">
        <v>1</v>
      </c>
      <c r="I17" s="1" t="s">
        <v>2</v>
      </c>
      <c r="J17" s="1" t="s">
        <v>3</v>
      </c>
    </row>
    <row r="18" customFormat="false" ht="13.5" hidden="false" customHeight="true" outlineLevel="0" collapsed="false">
      <c r="A18" s="0" t="n">
        <f aca="false">'equipment-shields'!F9</f>
        <v>23</v>
      </c>
      <c r="B18" s="0" t="n">
        <v>21</v>
      </c>
      <c r="F18" s="1" t="n">
        <v>5</v>
      </c>
      <c r="G18" s="1"/>
      <c r="H18" s="1" t="n">
        <f aca="false">DAMAGEAFTERAC(F18,C2+$B$12, ArmorClassModifier)</f>
        <v>2</v>
      </c>
      <c r="I18" s="1" t="n">
        <f aca="false">DAMAGEAFTERAC(F18,D2+$B$12, ArmorClassModifier)</f>
        <v>2</v>
      </c>
      <c r="J18" s="1" t="n">
        <f aca="false">DAMAGEAFTERAC(F18,E2+$B$12, ArmorClassModifier)</f>
        <v>2</v>
      </c>
    </row>
    <row r="19" customFormat="false" ht="13.5" hidden="false" customHeight="true" outlineLevel="0" collapsed="false">
      <c r="A19" s="0" t="n">
        <f aca="false">'equipment-shields'!F10</f>
        <v>28</v>
      </c>
      <c r="F19" s="1" t="n">
        <v>10</v>
      </c>
      <c r="G19" s="1" t="n">
        <f aca="false">DAMAGEAFTERAC(F19,B3+$B$14, ArmorClassModifier)</f>
        <v>4</v>
      </c>
      <c r="H19" s="1" t="n">
        <f aca="false">DAMAGEAFTERAC(F19,C3+$B$14, ArmorClassModifier)</f>
        <v>3</v>
      </c>
      <c r="I19" s="1" t="n">
        <f aca="false">DAMAGEAFTERAC(F19,D3+$B$14, ArmorClassModifier)</f>
        <v>4</v>
      </c>
      <c r="J19" s="1" t="n">
        <f aca="false">DAMAGEAFTERAC(F19,E3+$B$14, ArmorClassModifier)</f>
        <v>5</v>
      </c>
    </row>
    <row r="20" customFormat="false" ht="13.5" hidden="false" customHeight="true" outlineLevel="0" collapsed="false">
      <c r="A20" s="0" t="n">
        <f aca="false">'equipment-shields'!F11</f>
        <v>24</v>
      </c>
      <c r="F20" s="1" t="n">
        <v>18</v>
      </c>
      <c r="G20" s="1" t="n">
        <f aca="false">DAMAGEAFTERAC(F20,B4+$B$16, ArmorClassModifier)</f>
        <v>8</v>
      </c>
      <c r="H20" s="1" t="n">
        <f aca="false">DAMAGEAFTERAC(F20,C4+$B$16, ArmorClassModifier)</f>
        <v>8</v>
      </c>
      <c r="I20" s="1" t="n">
        <f aca="false">DAMAGEAFTERAC(F20,D4+$B$16, ArmorClassModifier)</f>
        <v>9</v>
      </c>
      <c r="J20" s="1" t="n">
        <f aca="false">DAMAGEAFTERAC(F20,E4+$B$16, ArmorClassModifier)</f>
        <v>10</v>
      </c>
    </row>
    <row r="21" customFormat="false" ht="13.5" hidden="false" customHeight="true" outlineLevel="0" collapsed="false">
      <c r="A21" s="0" t="n">
        <f aca="false">'equipment-shields'!F12</f>
        <v>28</v>
      </c>
      <c r="B21" s="0" t="n">
        <v>26</v>
      </c>
      <c r="F21" s="1" t="n">
        <v>30</v>
      </c>
      <c r="G21" s="1" t="n">
        <f aca="false">DAMAGEAFTERAC(F21,B5+$B$18, ArmorClassModifier)</f>
        <v>16</v>
      </c>
      <c r="H21" s="1" t="n">
        <f aca="false">DAMAGEAFTERAC(F21,C5+$B$18, ArmorClassModifier)</f>
        <v>16</v>
      </c>
      <c r="I21" s="1" t="n">
        <f aca="false">DAMAGEAFTERAC(F21,D5+$B$18, ArmorClassModifier)</f>
        <v>17</v>
      </c>
      <c r="J21" s="1" t="n">
        <f aca="false">DAMAGEAFTERAC(F21,E5+$B$18, ArmorClassModifier)</f>
        <v>20</v>
      </c>
    </row>
    <row r="22" customFormat="false" ht="13.5" hidden="false" customHeight="true" outlineLevel="0" collapsed="false">
      <c r="F22" s="1" t="n">
        <v>50</v>
      </c>
      <c r="G22" s="1" t="n">
        <f aca="false">DAMAGEAFTERAC(F22,B6+$B$21, ArmorClassModifier)</f>
        <v>30</v>
      </c>
      <c r="H22" s="1" t="n">
        <f aca="false">DAMAGEAFTERAC(F22,C6+$B$21, ArmorClassModifier)</f>
        <v>32</v>
      </c>
      <c r="J22" s="1" t="n">
        <f aca="false">DAMAGEAFTERAC(F22,E6+$B$21, ArmorClassModifier)</f>
        <v>33</v>
      </c>
    </row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17" activePane="bottomLeft" state="frozen"/>
      <selection pane="topLeft" activeCell="A1" activeCellId="0" sqref="A1"/>
      <selection pane="bottomLeft" activeCell="E26" activeCellId="0" sqref="E26"/>
    </sheetView>
  </sheetViews>
  <sheetFormatPr defaultColWidth="11.55078125" defaultRowHeight="15" zeroHeight="false" outlineLevelRow="0" outlineLevelCol="0"/>
  <cols>
    <col collapsed="false" customWidth="true" hidden="false" outlineLevel="0" max="1" min="1" style="1" width="16.54"/>
    <col collapsed="false" customWidth="true" hidden="false" outlineLevel="0" max="2" min="2" style="1" width="15.04"/>
    <col collapsed="false" customWidth="true" hidden="false" outlineLevel="0" max="3" min="3" style="1" width="35.49"/>
    <col collapsed="false" customWidth="true" hidden="false" outlineLevel="0" max="4" min="4" style="1" width="7.43"/>
    <col collapsed="false" customWidth="true" hidden="false" outlineLevel="0" max="5" min="5" style="1" width="7.73"/>
    <col collapsed="false" customWidth="true" hidden="false" outlineLevel="0" max="6" min="6" style="1" width="6.95"/>
    <col collapsed="false" customWidth="true" hidden="false" outlineLevel="0" max="7" min="7" style="1" width="7.25"/>
    <col collapsed="false" customWidth="true" hidden="false" outlineLevel="0" max="8" min="8" style="1" width="14.67"/>
    <col collapsed="false" customWidth="true" hidden="false" outlineLevel="0" max="9" min="9" style="1" width="9.48"/>
    <col collapsed="false" customWidth="true" hidden="false" outlineLevel="0" max="10" min="10" style="1" width="6.83"/>
    <col collapsed="false" customWidth="true" hidden="false" outlineLevel="0" max="11" min="11" style="1" width="7.55"/>
    <col collapsed="false" customWidth="true" hidden="false" outlineLevel="0" max="12" min="12" style="1" width="7.19"/>
    <col collapsed="false" customWidth="true" hidden="false" outlineLevel="0" max="13" min="13" style="1" width="6.83"/>
    <col collapsed="false" customWidth="true" hidden="false" outlineLevel="0" max="14" min="14" style="1" width="7.11"/>
    <col collapsed="false" customWidth="false" hidden="false" outlineLevel="0" max="16384" min="15" style="1" width="11.55"/>
  </cols>
  <sheetData>
    <row r="1" s="2" customFormat="true" ht="15" hidden="false" customHeight="true" outlineLevel="0" collapsed="false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2" t="s">
        <v>27</v>
      </c>
    </row>
    <row r="2" customFormat="false" ht="13.5" hidden="false" customHeight="true" outlineLevel="0" collapsed="false">
      <c r="A2" s="1" t="s">
        <v>28</v>
      </c>
      <c r="B2" s="1" t="s">
        <v>29</v>
      </c>
      <c r="C2" s="1" t="s">
        <v>30</v>
      </c>
      <c r="D2" s="1" t="n">
        <v>1</v>
      </c>
      <c r="E2" s="1" t="n">
        <v>3</v>
      </c>
      <c r="F2" s="3" t="n">
        <v>1</v>
      </c>
      <c r="G2" s="3" t="n">
        <v>3</v>
      </c>
      <c r="H2" s="1" t="s">
        <v>3</v>
      </c>
      <c r="I2" s="1" t="n">
        <v>12</v>
      </c>
    </row>
    <row r="3" customFormat="false" ht="13.5" hidden="false" customHeight="true" outlineLevel="0" collapsed="false">
      <c r="A3" s="1" t="s">
        <v>31</v>
      </c>
      <c r="B3" s="1" t="s">
        <v>29</v>
      </c>
      <c r="C3" s="1" t="s">
        <v>30</v>
      </c>
      <c r="D3" s="1" t="n">
        <v>2</v>
      </c>
      <c r="E3" s="1" t="n">
        <v>4</v>
      </c>
      <c r="F3" s="3" t="n">
        <v>2</v>
      </c>
      <c r="G3" s="3" t="n">
        <v>5</v>
      </c>
      <c r="H3" s="1" t="s">
        <v>3</v>
      </c>
      <c r="I3" s="1" t="n">
        <v>14</v>
      </c>
      <c r="L3" s="3" t="n">
        <v>15</v>
      </c>
    </row>
    <row r="4" customFormat="false" ht="13.5" hidden="false" customHeight="true" outlineLevel="0" collapsed="false">
      <c r="A4" s="1" t="s">
        <v>32</v>
      </c>
      <c r="B4" s="1" t="s">
        <v>29</v>
      </c>
      <c r="C4" s="1" t="s">
        <v>30</v>
      </c>
      <c r="D4" s="1" t="n">
        <v>3</v>
      </c>
      <c r="E4" s="1" t="n">
        <v>7</v>
      </c>
      <c r="F4" s="3" t="n">
        <v>4</v>
      </c>
      <c r="G4" s="3" t="n">
        <v>8</v>
      </c>
      <c r="H4" s="1" t="s">
        <v>3</v>
      </c>
      <c r="I4" s="1" t="n">
        <v>20</v>
      </c>
      <c r="L4" s="3" t="n">
        <v>30</v>
      </c>
    </row>
    <row r="5" customFormat="false" ht="13.5" hidden="false" customHeight="true" outlineLevel="0" collapsed="false">
      <c r="A5" s="1" t="s">
        <v>33</v>
      </c>
      <c r="B5" s="1" t="s">
        <v>29</v>
      </c>
      <c r="C5" s="1" t="s">
        <v>30</v>
      </c>
      <c r="D5" s="1" t="n">
        <v>6</v>
      </c>
      <c r="E5" s="1" t="n">
        <v>9</v>
      </c>
      <c r="F5" s="3" t="n">
        <v>8</v>
      </c>
      <c r="G5" s="3" t="n">
        <v>12</v>
      </c>
      <c r="H5" s="1" t="s">
        <v>3</v>
      </c>
      <c r="I5" s="1" t="n">
        <v>22</v>
      </c>
      <c r="L5" s="3" t="n">
        <v>40</v>
      </c>
    </row>
    <row r="6" customFormat="false" ht="13.5" hidden="false" customHeight="true" outlineLevel="0" collapsed="false">
      <c r="A6" s="1" t="s">
        <v>34</v>
      </c>
      <c r="B6" s="1" t="s">
        <v>29</v>
      </c>
      <c r="C6" s="1" t="s">
        <v>30</v>
      </c>
      <c r="D6" s="1" t="n">
        <v>8</v>
      </c>
      <c r="E6" s="1" t="n">
        <v>10</v>
      </c>
      <c r="F6" s="3" t="n">
        <v>12</v>
      </c>
      <c r="G6" s="3" t="n">
        <v>20</v>
      </c>
      <c r="H6" s="1" t="s">
        <v>3</v>
      </c>
      <c r="I6" s="1" t="n">
        <v>28</v>
      </c>
      <c r="L6" s="3" t="n">
        <v>52</v>
      </c>
    </row>
    <row r="7" customFormat="false" ht="13.5" hidden="false" customHeight="true" outlineLevel="0" collapsed="false"/>
    <row r="8" customFormat="false" ht="13.5" hidden="false" customHeight="true" outlineLevel="0" collapsed="false">
      <c r="A8" s="1" t="s">
        <v>35</v>
      </c>
      <c r="B8" s="1" t="s">
        <v>36</v>
      </c>
      <c r="C8" s="1" t="s">
        <v>37</v>
      </c>
      <c r="D8" s="1" t="n">
        <v>1</v>
      </c>
      <c r="E8" s="1" t="n">
        <v>3</v>
      </c>
      <c r="F8" s="1" t="n">
        <v>1</v>
      </c>
      <c r="G8" s="1" t="n">
        <v>2</v>
      </c>
      <c r="H8" s="1" t="s">
        <v>3</v>
      </c>
      <c r="I8" s="1" t="n">
        <v>12</v>
      </c>
    </row>
    <row r="9" customFormat="false" ht="13.5" hidden="false" customHeight="true" outlineLevel="0" collapsed="false">
      <c r="A9" s="1" t="s">
        <v>38</v>
      </c>
      <c r="B9" s="1" t="s">
        <v>36</v>
      </c>
      <c r="C9" s="1" t="s">
        <v>37</v>
      </c>
      <c r="D9" s="1" t="n">
        <v>2</v>
      </c>
      <c r="E9" s="1" t="n">
        <v>4</v>
      </c>
      <c r="F9" s="1" t="n">
        <v>2</v>
      </c>
      <c r="G9" s="1" t="n">
        <v>4</v>
      </c>
      <c r="H9" s="1" t="s">
        <v>3</v>
      </c>
      <c r="I9" s="1" t="n">
        <v>14</v>
      </c>
    </row>
    <row r="10" customFormat="false" ht="13.5" hidden="false" customHeight="true" outlineLevel="0" collapsed="false">
      <c r="A10" s="1" t="s">
        <v>39</v>
      </c>
      <c r="B10" s="1" t="s">
        <v>36</v>
      </c>
      <c r="C10" s="1" t="s">
        <v>37</v>
      </c>
      <c r="D10" s="1" t="n">
        <v>3</v>
      </c>
      <c r="E10" s="1" t="n">
        <v>6</v>
      </c>
      <c r="F10" s="1" t="n">
        <v>3</v>
      </c>
      <c r="G10" s="1" t="n">
        <v>6</v>
      </c>
      <c r="H10" s="1" t="s">
        <v>3</v>
      </c>
      <c r="I10" s="1" t="n">
        <v>14</v>
      </c>
    </row>
    <row r="11" customFormat="false" ht="13.5" hidden="false" customHeight="true" outlineLevel="0" collapsed="false">
      <c r="A11" s="1" t="s">
        <v>40</v>
      </c>
      <c r="B11" s="1" t="s">
        <v>36</v>
      </c>
      <c r="C11" s="1" t="s">
        <v>37</v>
      </c>
      <c r="D11" s="1" t="n">
        <v>5</v>
      </c>
      <c r="E11" s="1" t="n">
        <v>10</v>
      </c>
      <c r="F11" s="1" t="n">
        <v>1</v>
      </c>
      <c r="G11" s="1" t="n">
        <v>1</v>
      </c>
      <c r="H11" s="1" t="s">
        <v>3</v>
      </c>
      <c r="I11" s="1" t="n">
        <v>8</v>
      </c>
    </row>
    <row r="12" customFormat="false" ht="13.5" hidden="false" customHeight="true" outlineLevel="0" collapsed="false">
      <c r="A12" s="1" t="s">
        <v>41</v>
      </c>
      <c r="B12" s="1" t="s">
        <v>36</v>
      </c>
      <c r="C12" s="1" t="s">
        <v>37</v>
      </c>
      <c r="D12" s="1" t="n">
        <v>7</v>
      </c>
      <c r="E12" s="1" t="n">
        <v>10</v>
      </c>
      <c r="F12" s="1" t="n">
        <v>6</v>
      </c>
      <c r="G12" s="1" t="n">
        <v>14</v>
      </c>
      <c r="H12" s="1" t="s">
        <v>3</v>
      </c>
      <c r="I12" s="1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1" t="s">
        <v>42</v>
      </c>
      <c r="B14" s="1" t="s">
        <v>29</v>
      </c>
      <c r="C14" s="1" t="s">
        <v>43</v>
      </c>
      <c r="D14" s="1" t="n">
        <v>3</v>
      </c>
      <c r="E14" s="1" t="n">
        <v>5</v>
      </c>
      <c r="F14" s="3" t="n">
        <v>2</v>
      </c>
      <c r="G14" s="3" t="n">
        <v>5</v>
      </c>
      <c r="H14" s="1" t="s">
        <v>2</v>
      </c>
      <c r="I14" s="1" t="n">
        <v>16</v>
      </c>
      <c r="K14" s="3" t="n">
        <v>10</v>
      </c>
    </row>
    <row r="15" customFormat="false" ht="13.5" hidden="false" customHeight="true" outlineLevel="0" collapsed="false">
      <c r="A15" s="1" t="s">
        <v>44</v>
      </c>
      <c r="B15" s="1" t="s">
        <v>29</v>
      </c>
      <c r="C15" s="1" t="s">
        <v>43</v>
      </c>
      <c r="D15" s="1" t="n">
        <v>5</v>
      </c>
      <c r="E15" s="1" t="n">
        <v>7</v>
      </c>
      <c r="F15" s="3" t="n">
        <v>4</v>
      </c>
      <c r="G15" s="3" t="n">
        <v>7</v>
      </c>
      <c r="H15" s="1" t="s">
        <v>2</v>
      </c>
      <c r="I15" s="1" t="n">
        <v>18</v>
      </c>
      <c r="J15" s="3" t="n">
        <v>8</v>
      </c>
      <c r="K15" s="3" t="n">
        <v>8</v>
      </c>
    </row>
    <row r="16" customFormat="false" ht="13.5" hidden="false" customHeight="true" outlineLevel="0" collapsed="false">
      <c r="A16" s="1" t="s">
        <v>45</v>
      </c>
      <c r="B16" s="1" t="s">
        <v>29</v>
      </c>
      <c r="C16" s="1" t="s">
        <v>43</v>
      </c>
      <c r="D16" s="1" t="n">
        <v>6</v>
      </c>
      <c r="E16" s="1" t="n">
        <v>8</v>
      </c>
      <c r="F16" s="3" t="n">
        <v>7</v>
      </c>
      <c r="G16" s="3" t="n">
        <v>12</v>
      </c>
      <c r="H16" s="1" t="s">
        <v>2</v>
      </c>
      <c r="I16" s="1" t="n">
        <v>24</v>
      </c>
      <c r="K16" s="3" t="n">
        <v>33</v>
      </c>
    </row>
    <row r="17" customFormat="false" ht="13.5" hidden="false" customHeight="true" outlineLevel="0" collapsed="false">
      <c r="A17" s="1" t="s">
        <v>46</v>
      </c>
      <c r="B17" s="1" t="s">
        <v>29</v>
      </c>
      <c r="C17" s="1" t="s">
        <v>43</v>
      </c>
      <c r="D17" s="1" t="n">
        <v>8</v>
      </c>
      <c r="E17" s="1" t="n">
        <v>10</v>
      </c>
      <c r="F17" s="3" t="n">
        <v>14</v>
      </c>
      <c r="G17" s="3" t="n">
        <v>19</v>
      </c>
      <c r="H17" s="1" t="s">
        <v>2</v>
      </c>
      <c r="I17" s="1" t="n">
        <v>36</v>
      </c>
      <c r="K17" s="3" t="n">
        <v>21</v>
      </c>
      <c r="L17" s="3" t="n">
        <v>21</v>
      </c>
    </row>
    <row r="18" customFormat="false" ht="13.5" hidden="false" customHeight="true" outlineLevel="0" collapsed="false"/>
    <row r="19" customFormat="false" ht="13.5" hidden="false" customHeight="true" outlineLevel="0" collapsed="false">
      <c r="A19" s="1" t="s">
        <v>47</v>
      </c>
      <c r="B19" s="1" t="s">
        <v>36</v>
      </c>
      <c r="C19" s="1" t="s">
        <v>48</v>
      </c>
      <c r="D19" s="1" t="n">
        <v>1</v>
      </c>
      <c r="E19" s="1" t="n">
        <v>3</v>
      </c>
      <c r="F19" s="1" t="n">
        <v>2</v>
      </c>
      <c r="G19" s="1" t="n">
        <v>4</v>
      </c>
      <c r="H19" s="1" t="s">
        <v>2</v>
      </c>
      <c r="I19" s="1" t="n">
        <v>14</v>
      </c>
    </row>
    <row r="20" customFormat="false" ht="13.5" hidden="false" customHeight="true" outlineLevel="0" collapsed="false">
      <c r="A20" s="1" t="s">
        <v>49</v>
      </c>
      <c r="B20" s="1" t="s">
        <v>36</v>
      </c>
      <c r="C20" s="1" t="s">
        <v>48</v>
      </c>
      <c r="D20" s="1" t="n">
        <v>3</v>
      </c>
      <c r="E20" s="1" t="n">
        <v>5</v>
      </c>
      <c r="F20" s="1" t="n">
        <v>3</v>
      </c>
      <c r="G20" s="1" t="n">
        <v>5</v>
      </c>
      <c r="H20" s="1" t="s">
        <v>2</v>
      </c>
      <c r="I20" s="1" t="n">
        <v>16</v>
      </c>
    </row>
    <row r="21" customFormat="false" ht="13.5" hidden="false" customHeight="true" outlineLevel="0" collapsed="false">
      <c r="A21" s="1" t="s">
        <v>50</v>
      </c>
      <c r="B21" s="1" t="s">
        <v>36</v>
      </c>
      <c r="C21" s="1" t="s">
        <v>48</v>
      </c>
      <c r="D21" s="1" t="n">
        <v>4</v>
      </c>
      <c r="E21" s="1" t="n">
        <v>8</v>
      </c>
      <c r="F21" s="1" t="n">
        <v>5</v>
      </c>
      <c r="G21" s="1" t="n">
        <v>8</v>
      </c>
      <c r="H21" s="1" t="s">
        <v>2</v>
      </c>
      <c r="I21" s="1" t="n">
        <v>18</v>
      </c>
    </row>
    <row r="22" customFormat="false" ht="13.5" hidden="false" customHeight="true" outlineLevel="0" collapsed="false">
      <c r="A22" s="1" t="s">
        <v>51</v>
      </c>
      <c r="B22" s="1" t="s">
        <v>36</v>
      </c>
      <c r="C22" s="1" t="s">
        <v>48</v>
      </c>
      <c r="D22" s="1" t="n">
        <v>9</v>
      </c>
      <c r="E22" s="1" t="n">
        <v>10</v>
      </c>
      <c r="F22" s="1" t="n">
        <v>10</v>
      </c>
      <c r="G22" s="1" t="n">
        <v>14</v>
      </c>
      <c r="H22" s="1" t="s">
        <v>2</v>
      </c>
      <c r="I22" s="1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1" t="s">
        <v>52</v>
      </c>
      <c r="B24" s="1" t="s">
        <v>29</v>
      </c>
      <c r="C24" s="1" t="s">
        <v>53</v>
      </c>
      <c r="D24" s="1" t="n">
        <v>3</v>
      </c>
      <c r="E24" s="1" t="n">
        <v>5</v>
      </c>
      <c r="F24" s="3" t="n">
        <v>7</v>
      </c>
      <c r="G24" s="3" t="n">
        <v>10</v>
      </c>
      <c r="H24" s="1" t="s">
        <v>1</v>
      </c>
      <c r="I24" s="1" t="n">
        <v>19</v>
      </c>
      <c r="J24" s="3" t="n">
        <v>10</v>
      </c>
      <c r="L24" s="3" t="n">
        <v>10</v>
      </c>
    </row>
    <row r="25" customFormat="false" ht="13.5" hidden="false" customHeight="true" outlineLevel="0" collapsed="false">
      <c r="A25" s="1" t="s">
        <v>54</v>
      </c>
      <c r="B25" s="1" t="s">
        <v>29</v>
      </c>
      <c r="C25" s="1" t="s">
        <v>53</v>
      </c>
      <c r="D25" s="1" t="n">
        <v>4</v>
      </c>
      <c r="E25" s="1" t="n">
        <v>6</v>
      </c>
      <c r="F25" s="3" t="n">
        <v>13</v>
      </c>
      <c r="G25" s="3" t="n">
        <v>16</v>
      </c>
      <c r="H25" s="1" t="s">
        <v>1</v>
      </c>
      <c r="I25" s="1" t="n">
        <v>21</v>
      </c>
      <c r="J25" s="3" t="n">
        <v>18</v>
      </c>
      <c r="K25" s="3" t="n">
        <v>18</v>
      </c>
    </row>
    <row r="26" customFormat="false" ht="13.5" hidden="false" customHeight="true" outlineLevel="0" collapsed="false">
      <c r="A26" s="1" t="s">
        <v>55</v>
      </c>
      <c r="B26" s="1" t="s">
        <v>29</v>
      </c>
      <c r="C26" s="1" t="s">
        <v>53</v>
      </c>
      <c r="D26" s="1" t="n">
        <v>5</v>
      </c>
      <c r="E26" s="1" t="n">
        <v>7</v>
      </c>
      <c r="F26" s="3" t="n">
        <v>17</v>
      </c>
      <c r="G26" s="3" t="n">
        <v>20</v>
      </c>
      <c r="H26" s="1" t="s">
        <v>1</v>
      </c>
      <c r="I26" s="1" t="n">
        <v>25</v>
      </c>
      <c r="K26" s="3" t="n">
        <v>45</v>
      </c>
    </row>
    <row r="27" customFormat="false" ht="13.5" hidden="false" customHeight="true" outlineLevel="0" collapsed="false">
      <c r="A27" s="1" t="s">
        <v>56</v>
      </c>
      <c r="B27" s="1" t="s">
        <v>29</v>
      </c>
      <c r="C27" s="1" t="s">
        <v>53</v>
      </c>
      <c r="D27" s="1" t="n">
        <v>5</v>
      </c>
      <c r="E27" s="1" t="n">
        <v>9</v>
      </c>
      <c r="F27" s="3" t="n">
        <v>21</v>
      </c>
      <c r="G27" s="3" t="n">
        <v>25</v>
      </c>
      <c r="H27" s="1" t="s">
        <v>1</v>
      </c>
      <c r="I27" s="1" t="n">
        <v>29</v>
      </c>
      <c r="K27" s="3" t="n">
        <v>27</v>
      </c>
      <c r="L27" s="3" t="n">
        <v>27</v>
      </c>
    </row>
    <row r="28" customFormat="false" ht="13.5" hidden="false" customHeight="true" outlineLevel="0" collapsed="false">
      <c r="A28" s="1" t="s">
        <v>57</v>
      </c>
      <c r="B28" s="1" t="s">
        <v>29</v>
      </c>
      <c r="C28" s="1" t="s">
        <v>53</v>
      </c>
      <c r="D28" s="1" t="n">
        <v>8</v>
      </c>
      <c r="E28" s="1" t="n">
        <v>10</v>
      </c>
      <c r="F28" s="3" t="n">
        <v>20</v>
      </c>
      <c r="G28" s="3" t="n">
        <v>26</v>
      </c>
      <c r="H28" s="1" t="s">
        <v>1</v>
      </c>
      <c r="I28" s="1" t="n">
        <v>52</v>
      </c>
      <c r="K28" s="3" t="n">
        <v>55</v>
      </c>
    </row>
    <row r="29" customFormat="false" ht="13.5" hidden="false" customHeight="true" outlineLevel="0" collapsed="false"/>
    <row r="30" customFormat="false" ht="13.5" hidden="false" customHeight="true" outlineLevel="0" collapsed="false">
      <c r="A30" s="1" t="s">
        <v>58</v>
      </c>
      <c r="B30" s="1" t="s">
        <v>36</v>
      </c>
      <c r="C30" s="1" t="s">
        <v>59</v>
      </c>
      <c r="D30" s="1" t="n">
        <v>3</v>
      </c>
      <c r="E30" s="1" t="n">
        <v>4</v>
      </c>
      <c r="F30" s="1" t="n">
        <v>2</v>
      </c>
      <c r="G30" s="1" t="n">
        <v>2</v>
      </c>
      <c r="H30" s="1" t="s">
        <v>1</v>
      </c>
      <c r="I30" s="1" t="n">
        <v>12</v>
      </c>
    </row>
    <row r="31" customFormat="false" ht="13.5" hidden="false" customHeight="true" outlineLevel="0" collapsed="false">
      <c r="A31" s="1" t="s">
        <v>60</v>
      </c>
      <c r="B31" s="1" t="s">
        <v>36</v>
      </c>
      <c r="C31" s="1" t="s">
        <v>59</v>
      </c>
      <c r="D31" s="1" t="n">
        <v>4</v>
      </c>
      <c r="E31" s="1" t="n">
        <v>5</v>
      </c>
      <c r="F31" s="1" t="n">
        <v>8</v>
      </c>
      <c r="G31" s="1" t="n">
        <v>12</v>
      </c>
      <c r="H31" s="1" t="s">
        <v>1</v>
      </c>
      <c r="I31" s="1" t="n">
        <v>18</v>
      </c>
    </row>
    <row r="32" customFormat="false" ht="13.5" hidden="false" customHeight="true" outlineLevel="0" collapsed="false">
      <c r="A32" s="1" t="s">
        <v>61</v>
      </c>
      <c r="B32" s="1" t="s">
        <v>36</v>
      </c>
      <c r="C32" s="1" t="s">
        <v>59</v>
      </c>
      <c r="D32" s="1" t="n">
        <v>5</v>
      </c>
      <c r="E32" s="1" t="n">
        <v>8</v>
      </c>
      <c r="F32" s="1" t="n">
        <v>13</v>
      </c>
      <c r="G32" s="1" t="n">
        <v>15</v>
      </c>
      <c r="H32" s="1" t="s">
        <v>1</v>
      </c>
      <c r="I32" s="1" t="n">
        <v>19</v>
      </c>
    </row>
    <row r="33" customFormat="false" ht="13.5" hidden="false" customHeight="true" outlineLevel="0" collapsed="false">
      <c r="A33" s="1" t="s">
        <v>62</v>
      </c>
      <c r="B33" s="1" t="s">
        <v>36</v>
      </c>
      <c r="C33" s="1" t="s">
        <v>59</v>
      </c>
      <c r="D33" s="1" t="n">
        <v>7</v>
      </c>
      <c r="E33" s="1" t="n">
        <v>10</v>
      </c>
      <c r="F33" s="1" t="n">
        <v>15</v>
      </c>
      <c r="G33" s="1" t="n">
        <v>18</v>
      </c>
      <c r="H33" s="1" t="s">
        <v>1</v>
      </c>
      <c r="I33" s="1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1" t="s">
        <v>63</v>
      </c>
      <c r="B35" s="1" t="s">
        <v>29</v>
      </c>
      <c r="C35" s="1" t="s">
        <v>64</v>
      </c>
      <c r="D35" s="1" t="n">
        <v>2</v>
      </c>
      <c r="E35" s="1" t="n">
        <v>4</v>
      </c>
      <c r="F35" s="3" t="n">
        <v>10</v>
      </c>
      <c r="G35" s="3" t="n">
        <v>14</v>
      </c>
      <c r="H35" s="1" t="s">
        <v>0</v>
      </c>
      <c r="I35" s="1" t="n">
        <v>20</v>
      </c>
      <c r="J35" s="3" t="n">
        <v>18</v>
      </c>
    </row>
    <row r="36" customFormat="false" ht="13.5" hidden="false" customHeight="true" outlineLevel="0" collapsed="false">
      <c r="A36" s="1" t="s">
        <v>65</v>
      </c>
      <c r="B36" s="1" t="s">
        <v>29</v>
      </c>
      <c r="C36" s="1" t="s">
        <v>64</v>
      </c>
      <c r="D36" s="1" t="n">
        <v>4</v>
      </c>
      <c r="E36" s="1" t="n">
        <v>6</v>
      </c>
      <c r="F36" s="3" t="n">
        <v>16</v>
      </c>
      <c r="G36" s="3" t="n">
        <v>18</v>
      </c>
      <c r="H36" s="1" t="s">
        <v>0</v>
      </c>
      <c r="I36" s="1" t="n">
        <v>24</v>
      </c>
      <c r="J36" s="3" t="n">
        <v>35</v>
      </c>
    </row>
    <row r="37" customFormat="false" ht="13.5" hidden="false" customHeight="true" outlineLevel="0" collapsed="false">
      <c r="A37" s="1" t="s">
        <v>66</v>
      </c>
      <c r="B37" s="1" t="s">
        <v>29</v>
      </c>
      <c r="C37" s="1" t="s">
        <v>64</v>
      </c>
      <c r="D37" s="1" t="n">
        <v>5</v>
      </c>
      <c r="E37" s="1" t="n">
        <v>8</v>
      </c>
      <c r="F37" s="3" t="n">
        <v>20</v>
      </c>
      <c r="G37" s="3" t="n">
        <v>26</v>
      </c>
      <c r="H37" s="1" t="s">
        <v>0</v>
      </c>
      <c r="I37" s="1" t="n">
        <v>34</v>
      </c>
      <c r="J37" s="3" t="n">
        <v>50</v>
      </c>
    </row>
    <row r="38" customFormat="false" ht="13.5" hidden="false" customHeight="true" outlineLevel="0" collapsed="false">
      <c r="A38" s="1" t="s">
        <v>67</v>
      </c>
      <c r="B38" s="1" t="s">
        <v>29</v>
      </c>
      <c r="C38" s="1" t="s">
        <v>64</v>
      </c>
      <c r="D38" s="1" t="n">
        <v>8</v>
      </c>
      <c r="E38" s="1" t="n">
        <v>9</v>
      </c>
      <c r="F38" s="3" t="n">
        <v>27</v>
      </c>
      <c r="G38" s="3" t="n">
        <v>30</v>
      </c>
      <c r="H38" s="1" t="s">
        <v>0</v>
      </c>
      <c r="I38" s="1" t="n">
        <v>42</v>
      </c>
      <c r="J38" s="3" t="n">
        <v>60</v>
      </c>
    </row>
    <row r="39" customFormat="false" ht="13.5" hidden="false" customHeight="true" outlineLevel="0" collapsed="false"/>
    <row r="40" customFormat="false" ht="13.5" hidden="false" customHeight="true" outlineLevel="0" collapsed="false">
      <c r="A40" s="1" t="s">
        <v>68</v>
      </c>
      <c r="B40" s="1" t="s">
        <v>36</v>
      </c>
      <c r="C40" s="1" t="s">
        <v>69</v>
      </c>
      <c r="D40" s="1" t="n">
        <v>2</v>
      </c>
      <c r="E40" s="1" t="n">
        <v>4</v>
      </c>
      <c r="F40" s="1" t="n">
        <v>3</v>
      </c>
      <c r="G40" s="1" t="n">
        <v>5</v>
      </c>
      <c r="H40" s="1" t="s">
        <v>0</v>
      </c>
      <c r="I40" s="1" t="n">
        <v>18</v>
      </c>
    </row>
    <row r="41" customFormat="false" ht="13.5" hidden="false" customHeight="true" outlineLevel="0" collapsed="false">
      <c r="A41" s="1" t="s">
        <v>70</v>
      </c>
      <c r="B41" s="1" t="s">
        <v>36</v>
      </c>
      <c r="C41" s="1" t="s">
        <v>69</v>
      </c>
      <c r="D41" s="1" t="n">
        <v>4</v>
      </c>
      <c r="E41" s="1" t="n">
        <v>6</v>
      </c>
      <c r="F41" s="1" t="n">
        <v>10</v>
      </c>
      <c r="G41" s="1" t="n">
        <v>14</v>
      </c>
      <c r="H41" s="1" t="s">
        <v>0</v>
      </c>
      <c r="I41" s="1" t="n">
        <v>16</v>
      </c>
    </row>
    <row r="42" customFormat="false" ht="13.5" hidden="false" customHeight="true" outlineLevel="0" collapsed="false">
      <c r="A42" s="1" t="s">
        <v>71</v>
      </c>
      <c r="B42" s="1" t="s">
        <v>36</v>
      </c>
      <c r="C42" s="1" t="s">
        <v>69</v>
      </c>
      <c r="D42" s="1" t="n">
        <v>6</v>
      </c>
      <c r="E42" s="1" t="n">
        <v>9</v>
      </c>
      <c r="F42" s="1" t="n">
        <v>15</v>
      </c>
      <c r="G42" s="1" t="n">
        <v>17</v>
      </c>
      <c r="H42" s="1" t="s">
        <v>0</v>
      </c>
      <c r="I42" s="1" t="n">
        <v>31</v>
      </c>
    </row>
    <row r="43" customFormat="false" ht="13.5" hidden="false" customHeight="true" outlineLevel="0" collapsed="false">
      <c r="A43" s="1" t="s">
        <v>72</v>
      </c>
      <c r="B43" s="1" t="s">
        <v>36</v>
      </c>
      <c r="C43" s="1" t="s">
        <v>69</v>
      </c>
      <c r="D43" s="1" t="n">
        <v>9</v>
      </c>
      <c r="E43" s="1" t="n">
        <v>10</v>
      </c>
      <c r="F43" s="1" t="n">
        <v>18</v>
      </c>
      <c r="G43" s="1" t="n">
        <v>22</v>
      </c>
      <c r="H43" s="1" t="s">
        <v>0</v>
      </c>
      <c r="I43" s="1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9" activeCellId="0" sqref="B19"/>
    </sheetView>
  </sheetViews>
  <sheetFormatPr defaultColWidth="8.433593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3.09"/>
    <col collapsed="false" customWidth="true" hidden="false" outlineLevel="0" max="3" min="3" style="1" width="35.49"/>
    <col collapsed="false" customWidth="true" hidden="false" outlineLevel="0" max="7" min="4" style="1" width="10"/>
    <col collapsed="false" customWidth="true" hidden="false" outlineLevel="0" max="8" min="8" style="1" width="28"/>
    <col collapsed="false" customWidth="true" hidden="false" outlineLevel="0" max="9" min="9" style="1" width="23"/>
    <col collapsed="false" customWidth="true" hidden="false" outlineLevel="0" max="15" min="10" style="1" width="10"/>
  </cols>
  <sheetData>
    <row r="1" s="2" customFormat="true" ht="15" hidden="false" customHeight="true" outlineLevel="0" collapsed="false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73</v>
      </c>
      <c r="G1" s="2" t="s">
        <v>74</v>
      </c>
      <c r="H1" s="2" t="s">
        <v>75</v>
      </c>
      <c r="I1" s="2" t="s">
        <v>76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26</v>
      </c>
      <c r="O1" s="2" t="s">
        <v>27</v>
      </c>
    </row>
    <row r="2" customFormat="false" ht="13.5" hidden="false" customHeight="true" outlineLevel="0" collapsed="false">
      <c r="A2" s="1" t="s">
        <v>77</v>
      </c>
      <c r="B2" s="1" t="s">
        <v>78</v>
      </c>
      <c r="C2" s="1" t="s">
        <v>79</v>
      </c>
      <c r="D2" s="1" t="n">
        <v>0</v>
      </c>
      <c r="E2" s="1" t="n">
        <v>0</v>
      </c>
      <c r="F2" s="1" t="n">
        <v>1</v>
      </c>
      <c r="G2" s="1" t="n">
        <v>3</v>
      </c>
      <c r="H2" s="1" t="n">
        <v>1</v>
      </c>
      <c r="I2" s="1" t="s">
        <v>80</v>
      </c>
      <c r="J2" s="1" t="n">
        <v>8</v>
      </c>
    </row>
    <row r="3" customFormat="false" ht="13.5" hidden="false" customHeight="true" outlineLevel="0" collapsed="false">
      <c r="A3" s="1" t="s">
        <v>81</v>
      </c>
      <c r="B3" s="1" t="s">
        <v>78</v>
      </c>
      <c r="C3" s="1" t="s">
        <v>79</v>
      </c>
      <c r="D3" s="1" t="n">
        <v>1</v>
      </c>
      <c r="E3" s="1" t="n">
        <v>3</v>
      </c>
      <c r="F3" s="1" t="n">
        <v>1</v>
      </c>
      <c r="G3" s="1" t="n">
        <v>4</v>
      </c>
      <c r="H3" s="1" t="n">
        <v>1</v>
      </c>
      <c r="I3" s="1" t="s">
        <v>80</v>
      </c>
      <c r="J3" s="1" t="n">
        <v>14</v>
      </c>
    </row>
    <row r="4" customFormat="false" ht="13.5" hidden="false" customHeight="true" outlineLevel="0" collapsed="false">
      <c r="A4" s="1" t="s">
        <v>82</v>
      </c>
      <c r="B4" s="1" t="s">
        <v>78</v>
      </c>
      <c r="C4" s="1" t="s">
        <v>79</v>
      </c>
      <c r="D4" s="1" t="n">
        <v>2</v>
      </c>
      <c r="E4" s="1" t="n">
        <v>5</v>
      </c>
      <c r="F4" s="1" t="n">
        <v>1</v>
      </c>
      <c r="G4" s="1" t="n">
        <v>8</v>
      </c>
      <c r="H4" s="1" t="n">
        <v>1</v>
      </c>
      <c r="I4" s="1" t="s">
        <v>80</v>
      </c>
      <c r="J4" s="1" t="n">
        <v>22</v>
      </c>
      <c r="K4" s="1" t="n">
        <v>10</v>
      </c>
    </row>
    <row r="5" customFormat="false" ht="13.5" hidden="false" customHeight="true" outlineLevel="0" collapsed="false">
      <c r="A5" s="1" t="s">
        <v>83</v>
      </c>
      <c r="B5" s="1" t="s">
        <v>78</v>
      </c>
      <c r="C5" s="1" t="s">
        <v>79</v>
      </c>
      <c r="D5" s="1" t="n">
        <v>4</v>
      </c>
      <c r="E5" s="1" t="n">
        <v>8</v>
      </c>
      <c r="F5" s="1" t="n">
        <v>2</v>
      </c>
      <c r="G5" s="1" t="n">
        <v>12</v>
      </c>
      <c r="H5" s="1" t="n">
        <v>1</v>
      </c>
      <c r="I5" s="1" t="s">
        <v>80</v>
      </c>
      <c r="J5" s="1" t="n">
        <v>18</v>
      </c>
      <c r="K5" s="1" t="n">
        <v>14</v>
      </c>
    </row>
    <row r="6" customFormat="false" ht="13.5" hidden="false" customHeight="true" outlineLevel="0" collapsed="false">
      <c r="A6" s="1" t="s">
        <v>84</v>
      </c>
      <c r="B6" s="1" t="s">
        <v>78</v>
      </c>
      <c r="C6" s="1" t="s">
        <v>79</v>
      </c>
      <c r="D6" s="1" t="n">
        <v>8</v>
      </c>
      <c r="E6" s="1" t="n">
        <v>10</v>
      </c>
      <c r="F6" s="1" t="n">
        <v>4</v>
      </c>
      <c r="G6" s="1" t="n">
        <v>16</v>
      </c>
      <c r="H6" s="1" t="n">
        <v>1</v>
      </c>
      <c r="I6" s="1" t="s">
        <v>80</v>
      </c>
      <c r="J6" s="1" t="n">
        <v>20</v>
      </c>
      <c r="K6" s="1" t="n">
        <v>24</v>
      </c>
    </row>
    <row r="7" customFormat="false" ht="13.5" hidden="false" customHeight="true" outlineLevel="0" collapsed="false">
      <c r="A7" s="1" t="s">
        <v>85</v>
      </c>
      <c r="B7" s="1" t="s">
        <v>78</v>
      </c>
      <c r="C7" s="1" t="s">
        <v>79</v>
      </c>
      <c r="D7" s="1" t="n">
        <v>0</v>
      </c>
      <c r="E7" s="1" t="n">
        <v>0</v>
      </c>
      <c r="F7" s="1" t="n">
        <v>1</v>
      </c>
      <c r="G7" s="1" t="n">
        <v>2</v>
      </c>
      <c r="H7" s="1" t="n">
        <v>1</v>
      </c>
      <c r="I7" s="1" t="s">
        <v>86</v>
      </c>
      <c r="J7" s="1" t="n">
        <v>7</v>
      </c>
    </row>
    <row r="8" customFormat="false" ht="13.5" hidden="false" customHeight="true" outlineLevel="0" collapsed="false">
      <c r="A8" s="1" t="s">
        <v>87</v>
      </c>
      <c r="B8" s="1" t="s">
        <v>78</v>
      </c>
      <c r="C8" s="1" t="s">
        <v>79</v>
      </c>
      <c r="D8" s="1" t="n">
        <v>2</v>
      </c>
      <c r="E8" s="1" t="n">
        <v>4</v>
      </c>
      <c r="F8" s="1" t="n">
        <v>2</v>
      </c>
      <c r="G8" s="1" t="n">
        <v>6</v>
      </c>
      <c r="H8" s="1" t="n">
        <v>1</v>
      </c>
      <c r="I8" s="1" t="s">
        <v>86</v>
      </c>
      <c r="J8" s="1" t="n">
        <v>15</v>
      </c>
      <c r="K8" s="1" t="n">
        <v>5</v>
      </c>
    </row>
    <row r="9" customFormat="false" ht="15" hidden="false" customHeight="true" outlineLevel="0" collapsed="false">
      <c r="A9" s="1" t="s">
        <v>88</v>
      </c>
      <c r="B9" s="1" t="s">
        <v>78</v>
      </c>
      <c r="C9" s="1" t="s">
        <v>79</v>
      </c>
      <c r="D9" s="1" t="n">
        <v>3</v>
      </c>
      <c r="E9" s="1" t="n">
        <v>5</v>
      </c>
      <c r="F9" s="1" t="n">
        <v>4</v>
      </c>
      <c r="G9" s="1" t="n">
        <v>8</v>
      </c>
      <c r="H9" s="1" t="n">
        <v>1</v>
      </c>
      <c r="I9" s="1" t="s">
        <v>86</v>
      </c>
      <c r="J9" s="1" t="n">
        <v>17</v>
      </c>
      <c r="K9" s="1" t="n">
        <v>7</v>
      </c>
      <c r="L9" s="1" t="n">
        <v>7</v>
      </c>
    </row>
    <row r="10" customFormat="false" ht="15" hidden="false" customHeight="true" outlineLevel="0" collapsed="false">
      <c r="A10" s="1" t="s">
        <v>89</v>
      </c>
      <c r="B10" s="1" t="s">
        <v>78</v>
      </c>
      <c r="C10" s="1" t="s">
        <v>79</v>
      </c>
      <c r="D10" s="1" t="n">
        <v>6</v>
      </c>
      <c r="E10" s="1" t="n">
        <v>8</v>
      </c>
      <c r="F10" s="1" t="n">
        <v>4</v>
      </c>
      <c r="G10" s="1" t="n">
        <v>12</v>
      </c>
      <c r="H10" s="1" t="n">
        <v>1</v>
      </c>
      <c r="I10" s="1" t="s">
        <v>86</v>
      </c>
      <c r="J10" s="1" t="n">
        <v>24</v>
      </c>
      <c r="K10" s="1" t="n">
        <v>17</v>
      </c>
      <c r="L10" s="1" t="n">
        <v>7</v>
      </c>
    </row>
    <row r="11" customFormat="false" ht="15" hidden="false" customHeight="true" outlineLevel="0" collapsed="false">
      <c r="A11" s="1" t="s">
        <v>90</v>
      </c>
      <c r="B11" s="1" t="s">
        <v>78</v>
      </c>
      <c r="C11" s="1" t="s">
        <v>79</v>
      </c>
      <c r="D11" s="1" t="n">
        <v>8</v>
      </c>
      <c r="E11" s="1" t="n">
        <v>10</v>
      </c>
      <c r="F11" s="1" t="n">
        <v>6</v>
      </c>
      <c r="G11" s="1" t="n">
        <v>15</v>
      </c>
      <c r="H11" s="1" t="n">
        <v>2</v>
      </c>
      <c r="I11" s="1" t="s">
        <v>91</v>
      </c>
      <c r="J11" s="1" t="n">
        <v>25</v>
      </c>
      <c r="K11" s="1" t="n">
        <v>27</v>
      </c>
      <c r="L11" s="1" t="n">
        <v>15</v>
      </c>
    </row>
    <row r="12" customFormat="false" ht="15" hidden="false" customHeight="true" outlineLevel="0" collapsed="false">
      <c r="A12" s="1" t="s">
        <v>92</v>
      </c>
      <c r="B12" s="1" t="s">
        <v>78</v>
      </c>
      <c r="C12" s="1" t="s">
        <v>79</v>
      </c>
      <c r="D12" s="1" t="n">
        <v>1</v>
      </c>
      <c r="E12" s="1" t="n">
        <v>3</v>
      </c>
      <c r="F12" s="1" t="n">
        <v>1</v>
      </c>
      <c r="G12" s="1" t="n">
        <v>4</v>
      </c>
      <c r="H12" s="1" t="n">
        <v>2</v>
      </c>
      <c r="I12" s="1" t="s">
        <v>91</v>
      </c>
      <c r="J12" s="1" t="n">
        <v>9</v>
      </c>
    </row>
    <row r="13" customFormat="false" ht="15" hidden="false" customHeight="true" outlineLevel="0" collapsed="false">
      <c r="A13" s="1" t="s">
        <v>93</v>
      </c>
      <c r="B13" s="1" t="s">
        <v>78</v>
      </c>
      <c r="C13" s="1" t="s">
        <v>79</v>
      </c>
      <c r="D13" s="1" t="n">
        <v>3</v>
      </c>
      <c r="E13" s="1" t="n">
        <v>6</v>
      </c>
      <c r="F13" s="1" t="n">
        <v>1</v>
      </c>
      <c r="G13" s="1" t="n">
        <v>11</v>
      </c>
      <c r="H13" s="1" t="n">
        <v>1</v>
      </c>
      <c r="I13" s="1" t="s">
        <v>94</v>
      </c>
      <c r="J13" s="1" t="n">
        <v>13</v>
      </c>
      <c r="L13" s="1" t="n">
        <v>7</v>
      </c>
    </row>
    <row r="14" customFormat="false" ht="15" hidden="false" customHeight="true" outlineLevel="0" collapsed="false">
      <c r="A14" s="1" t="s">
        <v>95</v>
      </c>
      <c r="B14" s="1" t="s">
        <v>78</v>
      </c>
      <c r="C14" s="1" t="s">
        <v>79</v>
      </c>
      <c r="D14" s="1" t="n">
        <v>6</v>
      </c>
      <c r="E14" s="1" t="n">
        <v>9</v>
      </c>
      <c r="F14" s="1" t="n">
        <v>4</v>
      </c>
      <c r="G14" s="1" t="n">
        <v>13</v>
      </c>
      <c r="H14" s="1" t="n">
        <v>1</v>
      </c>
      <c r="I14" s="1" t="s">
        <v>94</v>
      </c>
      <c r="J14" s="1" t="n">
        <v>25</v>
      </c>
      <c r="K14" s="1" t="n">
        <v>7</v>
      </c>
      <c r="L14" s="1" t="n">
        <v>14</v>
      </c>
    </row>
    <row r="15" customFormat="false" ht="15" hidden="false" customHeight="true" outlineLevel="0" collapsed="false">
      <c r="A15" s="1" t="s">
        <v>96</v>
      </c>
      <c r="B15" s="1" t="s">
        <v>78</v>
      </c>
      <c r="C15" s="1" t="s">
        <v>79</v>
      </c>
      <c r="D15" s="1" t="n">
        <v>5</v>
      </c>
      <c r="E15" s="1" t="n">
        <v>10</v>
      </c>
      <c r="F15" s="1" t="n">
        <v>2</v>
      </c>
      <c r="G15" s="1" t="n">
        <v>12</v>
      </c>
      <c r="H15" s="1" t="n">
        <v>2</v>
      </c>
      <c r="I15" s="1" t="s">
        <v>97</v>
      </c>
      <c r="J15" s="1" t="n">
        <v>20</v>
      </c>
      <c r="K15" s="1" t="n">
        <v>18</v>
      </c>
      <c r="L15" s="1" t="n">
        <v>7</v>
      </c>
      <c r="M15" s="1" t="n">
        <v>3</v>
      </c>
    </row>
    <row r="16" customFormat="false" ht="15" hidden="false" customHeight="true" outlineLevel="0" collapsed="false">
      <c r="A16" s="1" t="s">
        <v>98</v>
      </c>
      <c r="B16" s="1" t="s">
        <v>78</v>
      </c>
      <c r="C16" s="1" t="s">
        <v>79</v>
      </c>
      <c r="D16" s="1" t="n">
        <v>5</v>
      </c>
      <c r="E16" s="1" t="n">
        <v>8</v>
      </c>
      <c r="F16" s="1" t="n">
        <v>6</v>
      </c>
      <c r="G16" s="1" t="n">
        <v>10</v>
      </c>
      <c r="H16" s="1" t="n">
        <v>1</v>
      </c>
      <c r="I16" s="1" t="s">
        <v>99</v>
      </c>
      <c r="J16" s="1" t="n">
        <v>12</v>
      </c>
      <c r="K16" s="1" t="n">
        <v>13</v>
      </c>
      <c r="M16" s="1" t="n">
        <v>5</v>
      </c>
    </row>
    <row r="17" customFormat="false" ht="15" hidden="false" customHeight="true" outlineLevel="0" collapsed="false">
      <c r="A17" s="1" t="s">
        <v>100</v>
      </c>
      <c r="B17" s="1" t="s">
        <v>78</v>
      </c>
      <c r="C17" s="1" t="s">
        <v>79</v>
      </c>
      <c r="D17" s="1" t="n">
        <v>2</v>
      </c>
      <c r="E17" s="1" t="n">
        <v>4</v>
      </c>
      <c r="F17" s="1" t="n">
        <v>2</v>
      </c>
      <c r="G17" s="1" t="n">
        <v>6</v>
      </c>
      <c r="H17" s="1" t="n">
        <v>1</v>
      </c>
      <c r="I17" s="1" t="s">
        <v>101</v>
      </c>
      <c r="J17" s="1" t="n">
        <v>9</v>
      </c>
      <c r="K17" s="1" t="n">
        <v>8</v>
      </c>
      <c r="M17" s="1" t="n">
        <v>2</v>
      </c>
    </row>
    <row r="18" customFormat="false" ht="15" hidden="false" customHeight="true" outlineLevel="0" collapsed="false">
      <c r="A18" s="1" t="s">
        <v>102</v>
      </c>
      <c r="B18" s="1" t="s">
        <v>78</v>
      </c>
      <c r="C18" s="1" t="s">
        <v>79</v>
      </c>
      <c r="D18" s="1" t="n">
        <v>2</v>
      </c>
      <c r="E18" s="1" t="n">
        <v>4</v>
      </c>
      <c r="F18" s="1" t="n">
        <v>1</v>
      </c>
      <c r="G18" s="1" t="n">
        <v>8</v>
      </c>
      <c r="H18" s="1" t="n">
        <v>1</v>
      </c>
      <c r="I18" s="1" t="s">
        <v>103</v>
      </c>
      <c r="J18" s="1" t="n">
        <v>10</v>
      </c>
      <c r="M18" s="1" t="n">
        <v>2</v>
      </c>
    </row>
    <row r="19" customFormat="false" ht="15" hidden="false" customHeight="true" outlineLevel="0" collapsed="false">
      <c r="A19" s="1" t="s">
        <v>104</v>
      </c>
      <c r="B19" s="1" t="s">
        <v>78</v>
      </c>
      <c r="C19" s="1" t="s">
        <v>79</v>
      </c>
      <c r="D19" s="1" t="n">
        <v>3</v>
      </c>
      <c r="E19" s="1" t="n">
        <v>6</v>
      </c>
      <c r="F19" s="1" t="n">
        <v>2</v>
      </c>
      <c r="G19" s="1" t="n">
        <v>10</v>
      </c>
      <c r="H19" s="1" t="n">
        <v>1</v>
      </c>
      <c r="I19" s="1" t="s">
        <v>103</v>
      </c>
      <c r="J19" s="1" t="n">
        <v>14</v>
      </c>
      <c r="M19" s="1" t="n">
        <v>10</v>
      </c>
    </row>
    <row r="20" customFormat="false" ht="15" hidden="false" customHeight="true" outlineLevel="0" collapsed="false">
      <c r="A20" s="1" t="s">
        <v>105</v>
      </c>
      <c r="B20" s="1" t="s">
        <v>78</v>
      </c>
      <c r="C20" s="1" t="s">
        <v>79</v>
      </c>
      <c r="D20" s="1" t="n">
        <v>5</v>
      </c>
      <c r="E20" s="1" t="n">
        <v>7</v>
      </c>
      <c r="F20" s="1" t="n">
        <v>3</v>
      </c>
      <c r="G20" s="1" t="n">
        <v>13</v>
      </c>
      <c r="H20" s="1" t="n">
        <v>1</v>
      </c>
      <c r="I20" s="1" t="s">
        <v>103</v>
      </c>
      <c r="J20" s="1" t="n">
        <v>18</v>
      </c>
      <c r="M20" s="1" t="n">
        <v>15</v>
      </c>
    </row>
    <row r="21" customFormat="false" ht="15" hidden="false" customHeight="true" outlineLevel="0" collapsed="false">
      <c r="A21" s="1" t="s">
        <v>106</v>
      </c>
      <c r="B21" s="1" t="s">
        <v>78</v>
      </c>
      <c r="C21" s="1" t="s">
        <v>79</v>
      </c>
      <c r="D21" s="1" t="n">
        <v>8</v>
      </c>
      <c r="E21" s="1" t="n">
        <v>10</v>
      </c>
      <c r="F21" s="1" t="n">
        <v>6</v>
      </c>
      <c r="G21" s="1" t="n">
        <v>16</v>
      </c>
      <c r="H21" s="1" t="n">
        <v>1</v>
      </c>
      <c r="I21" s="1" t="s">
        <v>103</v>
      </c>
      <c r="J21" s="1" t="n">
        <v>24</v>
      </c>
      <c r="M21" s="1" t="n">
        <v>20</v>
      </c>
    </row>
    <row r="22" customFormat="false" ht="15" hidden="false" customHeight="true" outlineLevel="0" collapsed="false">
      <c r="A22" s="1" t="s">
        <v>107</v>
      </c>
      <c r="B22" s="1" t="s">
        <v>108</v>
      </c>
      <c r="C22" s="1" t="s">
        <v>109</v>
      </c>
      <c r="D22" s="1" t="n">
        <v>0</v>
      </c>
      <c r="E22" s="1" t="n">
        <v>0</v>
      </c>
      <c r="F22" s="1" t="n">
        <v>1</v>
      </c>
      <c r="G22" s="1" t="n">
        <v>7</v>
      </c>
      <c r="H22" s="1" t="n">
        <v>1</v>
      </c>
      <c r="I22" s="1" t="s">
        <v>80</v>
      </c>
      <c r="J22" s="1" t="n">
        <v>6</v>
      </c>
    </row>
    <row r="23" customFormat="false" ht="15" hidden="false" customHeight="true" outlineLevel="0" collapsed="false">
      <c r="A23" s="1" t="s">
        <v>110</v>
      </c>
      <c r="B23" s="1" t="s">
        <v>108</v>
      </c>
      <c r="C23" s="1" t="s">
        <v>109</v>
      </c>
      <c r="D23" s="1" t="n">
        <v>1</v>
      </c>
      <c r="E23" s="1" t="n">
        <v>3</v>
      </c>
      <c r="F23" s="1" t="n">
        <v>2</v>
      </c>
      <c r="G23" s="1" t="n">
        <v>8</v>
      </c>
      <c r="H23" s="1" t="n">
        <v>1</v>
      </c>
      <c r="I23" s="1" t="s">
        <v>80</v>
      </c>
      <c r="J23" s="1" t="n">
        <v>8</v>
      </c>
    </row>
    <row r="24" customFormat="false" ht="15" hidden="false" customHeight="true" outlineLevel="0" collapsed="false">
      <c r="A24" s="1" t="s">
        <v>111</v>
      </c>
      <c r="B24" s="1" t="s">
        <v>108</v>
      </c>
      <c r="C24" s="1" t="s">
        <v>109</v>
      </c>
      <c r="D24" s="1" t="n">
        <v>2</v>
      </c>
      <c r="E24" s="1" t="n">
        <v>5</v>
      </c>
      <c r="F24" s="1" t="n">
        <v>3</v>
      </c>
      <c r="G24" s="1" t="n">
        <v>9</v>
      </c>
      <c r="H24" s="1" t="n">
        <v>1</v>
      </c>
      <c r="I24" s="1" t="s">
        <v>94</v>
      </c>
      <c r="J24" s="1" t="n">
        <v>11</v>
      </c>
      <c r="K24" s="1" t="n">
        <v>2</v>
      </c>
      <c r="L24" s="1" t="n">
        <v>5</v>
      </c>
    </row>
    <row r="25" customFormat="false" ht="15" hidden="false" customHeight="true" outlineLevel="0" collapsed="false">
      <c r="A25" s="1" t="s">
        <v>112</v>
      </c>
      <c r="B25" s="1" t="s">
        <v>108</v>
      </c>
      <c r="C25" s="1" t="s">
        <v>109</v>
      </c>
      <c r="D25" s="1" t="n">
        <v>2</v>
      </c>
      <c r="E25" s="1" t="n">
        <v>5</v>
      </c>
      <c r="F25" s="1" t="n">
        <v>1</v>
      </c>
      <c r="G25" s="1" t="n">
        <v>11</v>
      </c>
      <c r="H25" s="1" t="n">
        <v>1</v>
      </c>
      <c r="I25" s="1" t="s">
        <v>86</v>
      </c>
      <c r="J25" s="1" t="n">
        <v>15</v>
      </c>
      <c r="K25" s="1" t="n">
        <v>9</v>
      </c>
    </row>
    <row r="26" customFormat="false" ht="15" hidden="false" customHeight="true" outlineLevel="0" collapsed="false">
      <c r="A26" s="1" t="s">
        <v>113</v>
      </c>
      <c r="B26" s="1" t="s">
        <v>108</v>
      </c>
      <c r="C26" s="1" t="s">
        <v>109</v>
      </c>
      <c r="D26" s="1" t="n">
        <v>3</v>
      </c>
      <c r="E26" s="1" t="n">
        <v>6</v>
      </c>
      <c r="F26" s="1" t="n">
        <v>6</v>
      </c>
      <c r="G26" s="1" t="n">
        <v>12</v>
      </c>
      <c r="H26" s="1" t="n">
        <v>2</v>
      </c>
      <c r="I26" s="1" t="s">
        <v>114</v>
      </c>
      <c r="J26" s="1" t="n">
        <v>16</v>
      </c>
      <c r="K26" s="1" t="n">
        <v>11</v>
      </c>
      <c r="L26" s="1" t="n">
        <v>5</v>
      </c>
    </row>
    <row r="27" customFormat="false" ht="15" hidden="false" customHeight="true" outlineLevel="0" collapsed="false">
      <c r="A27" s="1" t="s">
        <v>115</v>
      </c>
      <c r="B27" s="1" t="s">
        <v>108</v>
      </c>
      <c r="C27" s="1" t="s">
        <v>109</v>
      </c>
      <c r="D27" s="1" t="n">
        <v>5</v>
      </c>
      <c r="E27" s="1" t="n">
        <v>7</v>
      </c>
      <c r="F27" s="1" t="n">
        <v>9</v>
      </c>
      <c r="G27" s="1" t="n">
        <v>14</v>
      </c>
      <c r="H27" s="1" t="n">
        <v>1</v>
      </c>
      <c r="I27" s="1" t="s">
        <v>80</v>
      </c>
      <c r="J27" s="1" t="n">
        <v>18</v>
      </c>
      <c r="K27" s="1" t="n">
        <v>16</v>
      </c>
    </row>
    <row r="28" customFormat="false" ht="15" hidden="false" customHeight="true" outlineLevel="0" collapsed="false">
      <c r="A28" s="1" t="s">
        <v>116</v>
      </c>
      <c r="B28" s="1" t="s">
        <v>108</v>
      </c>
      <c r="C28" s="1" t="s">
        <v>109</v>
      </c>
      <c r="D28" s="1" t="n">
        <v>5</v>
      </c>
      <c r="E28" s="1" t="n">
        <v>7</v>
      </c>
      <c r="F28" s="1" t="n">
        <v>6</v>
      </c>
      <c r="G28" s="1" t="n">
        <v>15</v>
      </c>
      <c r="H28" s="1" t="n">
        <v>1</v>
      </c>
      <c r="I28" s="1" t="s">
        <v>86</v>
      </c>
      <c r="J28" s="1" t="n">
        <v>21</v>
      </c>
      <c r="K28" s="1" t="n">
        <v>13</v>
      </c>
      <c r="L28" s="1" t="n">
        <v>7</v>
      </c>
    </row>
    <row r="29" customFormat="false" ht="15" hidden="false" customHeight="true" outlineLevel="0" collapsed="false">
      <c r="A29" s="1" t="s">
        <v>117</v>
      </c>
      <c r="B29" s="1" t="s">
        <v>108</v>
      </c>
      <c r="C29" s="1" t="s">
        <v>109</v>
      </c>
      <c r="D29" s="1" t="n">
        <v>6</v>
      </c>
      <c r="E29" s="1" t="n">
        <v>8</v>
      </c>
      <c r="F29" s="1" t="n">
        <v>8</v>
      </c>
      <c r="G29" s="1" t="n">
        <v>17</v>
      </c>
      <c r="H29" s="1" t="n">
        <v>2</v>
      </c>
      <c r="I29" s="1" t="s">
        <v>91</v>
      </c>
      <c r="J29" s="1" t="n">
        <v>19</v>
      </c>
      <c r="K29" s="1" t="n">
        <v>9</v>
      </c>
      <c r="L29" s="1" t="n">
        <v>15</v>
      </c>
    </row>
    <row r="30" customFormat="false" ht="15" hidden="false" customHeight="true" outlineLevel="0" collapsed="false">
      <c r="A30" s="1" t="s">
        <v>118</v>
      </c>
      <c r="B30" s="1" t="s">
        <v>108</v>
      </c>
      <c r="C30" s="1" t="s">
        <v>109</v>
      </c>
      <c r="D30" s="1" t="n">
        <v>7</v>
      </c>
      <c r="E30" s="1" t="n">
        <v>9</v>
      </c>
      <c r="F30" s="1" t="n">
        <v>10</v>
      </c>
      <c r="G30" s="1" t="n">
        <v>18</v>
      </c>
      <c r="H30" s="1" t="n">
        <v>2</v>
      </c>
      <c r="I30" s="1" t="s">
        <v>119</v>
      </c>
      <c r="J30" s="1" t="n">
        <v>18</v>
      </c>
      <c r="K30" s="1" t="n">
        <v>7</v>
      </c>
      <c r="M30" s="1" t="n">
        <v>7</v>
      </c>
    </row>
    <row r="31" customFormat="false" ht="15" hidden="false" customHeight="true" outlineLevel="0" collapsed="false">
      <c r="A31" s="1" t="s">
        <v>120</v>
      </c>
      <c r="B31" s="1" t="s">
        <v>108</v>
      </c>
      <c r="C31" s="1" t="s">
        <v>109</v>
      </c>
      <c r="D31" s="1" t="n">
        <v>8</v>
      </c>
      <c r="E31" s="1" t="n">
        <v>10</v>
      </c>
      <c r="F31" s="1" t="n">
        <v>14</v>
      </c>
      <c r="G31" s="1" t="n">
        <v>26</v>
      </c>
      <c r="H31" s="1" t="n">
        <v>2</v>
      </c>
      <c r="I31" s="1" t="s">
        <v>121</v>
      </c>
      <c r="J31" s="1" t="n">
        <v>23</v>
      </c>
      <c r="K31" s="1" t="n">
        <v>7</v>
      </c>
      <c r="M31" s="1" t="n">
        <v>7</v>
      </c>
    </row>
    <row r="32" customFormat="false" ht="15" hidden="false" customHeight="true" outlineLevel="0" collapsed="false">
      <c r="A32" s="1" t="s">
        <v>122</v>
      </c>
      <c r="B32" s="1" t="s">
        <v>108</v>
      </c>
      <c r="C32" s="1" t="s">
        <v>109</v>
      </c>
      <c r="D32" s="1" t="n">
        <v>9</v>
      </c>
      <c r="E32" s="1" t="n">
        <v>10</v>
      </c>
      <c r="F32" s="1" t="n">
        <v>15</v>
      </c>
      <c r="G32" s="1" t="n">
        <v>35</v>
      </c>
      <c r="H32" s="1" t="n">
        <v>1</v>
      </c>
      <c r="I32" s="1" t="s">
        <v>86</v>
      </c>
      <c r="J32" s="1" t="n">
        <v>28</v>
      </c>
      <c r="K32" s="1" t="n">
        <v>23</v>
      </c>
      <c r="L32" s="1" t="n">
        <v>11</v>
      </c>
    </row>
    <row r="33" customFormat="false" ht="15" hidden="false" customHeight="true" outlineLevel="0" collapsed="false">
      <c r="A33" s="1" t="s">
        <v>123</v>
      </c>
      <c r="B33" s="1" t="s">
        <v>108</v>
      </c>
      <c r="C33" s="1" t="s">
        <v>109</v>
      </c>
      <c r="D33" s="1" t="n">
        <v>9</v>
      </c>
      <c r="E33" s="1" t="n">
        <v>10</v>
      </c>
      <c r="F33" s="1" t="n">
        <v>20</v>
      </c>
      <c r="G33" s="1" t="n">
        <v>30</v>
      </c>
      <c r="H33" s="1" t="n">
        <v>1</v>
      </c>
      <c r="I33" s="1" t="s">
        <v>80</v>
      </c>
      <c r="J33" s="1" t="n">
        <v>40</v>
      </c>
      <c r="K33" s="1" t="n">
        <v>30</v>
      </c>
    </row>
    <row r="34" customFormat="false" ht="15" hidden="false" customHeight="true" outlineLevel="0" collapsed="false">
      <c r="A34" s="1" t="s">
        <v>124</v>
      </c>
      <c r="B34" s="1" t="s">
        <v>108</v>
      </c>
      <c r="C34" s="1" t="s">
        <v>125</v>
      </c>
      <c r="D34" s="1" t="n">
        <v>3</v>
      </c>
      <c r="E34" s="1" t="n">
        <v>6</v>
      </c>
      <c r="F34" s="1" t="n">
        <v>4</v>
      </c>
      <c r="G34" s="1" t="n">
        <v>12</v>
      </c>
      <c r="H34" s="1" t="n">
        <v>1</v>
      </c>
      <c r="I34" s="1" t="s">
        <v>80</v>
      </c>
      <c r="J34" s="1" t="n">
        <v>16</v>
      </c>
      <c r="M34" s="1" t="n">
        <v>10</v>
      </c>
    </row>
    <row r="35" customFormat="false" ht="15" hidden="false" customHeight="true" outlineLevel="0" collapsed="false">
      <c r="A35" s="1" t="s">
        <v>126</v>
      </c>
      <c r="B35" s="1" t="s">
        <v>108</v>
      </c>
      <c r="C35" s="1" t="s">
        <v>125</v>
      </c>
      <c r="D35" s="1" t="n">
        <v>5</v>
      </c>
      <c r="E35" s="1" t="n">
        <v>8</v>
      </c>
      <c r="F35" s="1" t="n">
        <v>8</v>
      </c>
      <c r="G35" s="1" t="n">
        <v>22</v>
      </c>
      <c r="H35" s="1" t="n">
        <v>1</v>
      </c>
      <c r="I35" s="1" t="s">
        <v>80</v>
      </c>
      <c r="J35" s="1" t="n">
        <v>19</v>
      </c>
      <c r="M35" s="1" t="n">
        <v>15</v>
      </c>
    </row>
    <row r="36" customFormat="false" ht="15" hidden="false" customHeight="true" outlineLevel="0" collapsed="false">
      <c r="A36" s="1" t="s">
        <v>127</v>
      </c>
      <c r="B36" s="1" t="s">
        <v>108</v>
      </c>
      <c r="C36" s="1" t="s">
        <v>125</v>
      </c>
      <c r="D36" s="1" t="n">
        <v>8</v>
      </c>
      <c r="E36" s="1" t="n">
        <v>10</v>
      </c>
      <c r="F36" s="1" t="n">
        <v>10</v>
      </c>
      <c r="G36" s="1" t="n">
        <v>32</v>
      </c>
      <c r="H36" s="1" t="n">
        <v>1</v>
      </c>
      <c r="I36" s="1" t="s">
        <v>80</v>
      </c>
      <c r="J36" s="1" t="n">
        <v>24</v>
      </c>
      <c r="M36" s="1" t="n">
        <v>25</v>
      </c>
    </row>
    <row r="37" customFormat="false" ht="15" hidden="false" customHeight="true" outlineLevel="0" collapsed="false">
      <c r="A37" s="1" t="s">
        <v>128</v>
      </c>
      <c r="B37" s="1" t="s">
        <v>129</v>
      </c>
      <c r="C37" s="1" t="s">
        <v>130</v>
      </c>
      <c r="D37" s="1" t="n">
        <v>1</v>
      </c>
      <c r="E37" s="1" t="n">
        <v>3</v>
      </c>
      <c r="F37" s="1" t="n">
        <v>2</v>
      </c>
      <c r="G37" s="1" t="n">
        <v>7</v>
      </c>
      <c r="H37" s="1" t="n">
        <v>1</v>
      </c>
      <c r="I37" s="1" t="s">
        <v>94</v>
      </c>
      <c r="J37" s="1" t="n">
        <v>15</v>
      </c>
      <c r="L37" s="1" t="n">
        <v>2</v>
      </c>
    </row>
    <row r="38" customFormat="false" ht="15" hidden="false" customHeight="true" outlineLevel="0" collapsed="false">
      <c r="A38" s="1" t="s">
        <v>131</v>
      </c>
      <c r="B38" s="1" t="s">
        <v>129</v>
      </c>
      <c r="C38" s="1" t="s">
        <v>130</v>
      </c>
      <c r="D38" s="1" t="n">
        <v>3</v>
      </c>
      <c r="E38" s="1" t="n">
        <v>5</v>
      </c>
      <c r="F38" s="1" t="n">
        <v>5</v>
      </c>
      <c r="G38" s="1" t="n">
        <v>10</v>
      </c>
      <c r="H38" s="1" t="n">
        <v>1</v>
      </c>
      <c r="I38" s="1" t="s">
        <v>94</v>
      </c>
      <c r="J38" s="1" t="n">
        <v>16</v>
      </c>
      <c r="K38" s="1" t="n">
        <v>3</v>
      </c>
      <c r="L38" s="1" t="n">
        <v>7</v>
      </c>
    </row>
    <row r="39" customFormat="false" ht="15" hidden="false" customHeight="true" outlineLevel="0" collapsed="false">
      <c r="A39" s="1" t="s">
        <v>132</v>
      </c>
      <c r="B39" s="1" t="s">
        <v>129</v>
      </c>
      <c r="C39" s="1" t="s">
        <v>130</v>
      </c>
      <c r="D39" s="1" t="n">
        <v>5</v>
      </c>
      <c r="E39" s="1" t="n">
        <v>8</v>
      </c>
      <c r="F39" s="1" t="n">
        <v>8</v>
      </c>
      <c r="G39" s="1" t="n">
        <v>16</v>
      </c>
      <c r="H39" s="1" t="n">
        <v>1</v>
      </c>
      <c r="I39" s="1" t="s">
        <v>94</v>
      </c>
      <c r="J39" s="1" t="n">
        <v>26</v>
      </c>
      <c r="K39" s="1" t="n">
        <v>7</v>
      </c>
      <c r="L39" s="1" t="n">
        <v>13</v>
      </c>
    </row>
    <row r="40" customFormat="false" ht="15" hidden="false" customHeight="true" outlineLevel="0" collapsed="false">
      <c r="A40" s="1" t="s">
        <v>133</v>
      </c>
      <c r="B40" s="1" t="s">
        <v>129</v>
      </c>
      <c r="C40" s="1" t="s">
        <v>130</v>
      </c>
      <c r="D40" s="1" t="n">
        <v>8</v>
      </c>
      <c r="E40" s="1" t="n">
        <v>10</v>
      </c>
      <c r="F40" s="1" t="n">
        <v>12</v>
      </c>
      <c r="G40" s="1" t="n">
        <v>26</v>
      </c>
      <c r="H40" s="1" t="n">
        <v>1</v>
      </c>
      <c r="I40" s="1" t="s">
        <v>94</v>
      </c>
      <c r="J40" s="1" t="n">
        <v>25</v>
      </c>
      <c r="K40" s="1" t="n">
        <v>13</v>
      </c>
      <c r="L40" s="1" t="n">
        <v>25</v>
      </c>
    </row>
    <row r="41" customFormat="false" ht="15" hidden="false" customHeight="true" outlineLevel="0" collapsed="false">
      <c r="A41" s="1" t="s">
        <v>134</v>
      </c>
      <c r="B41" s="1" t="s">
        <v>129</v>
      </c>
      <c r="C41" s="1" t="s">
        <v>130</v>
      </c>
      <c r="D41" s="1" t="n">
        <v>7</v>
      </c>
      <c r="E41" s="1" t="n">
        <v>10</v>
      </c>
      <c r="F41" s="1" t="n">
        <v>10</v>
      </c>
      <c r="G41" s="1" t="n">
        <v>22</v>
      </c>
      <c r="H41" s="1" t="n">
        <v>1</v>
      </c>
      <c r="I41" s="1" t="s">
        <v>135</v>
      </c>
      <c r="J41" s="1" t="n">
        <v>11</v>
      </c>
      <c r="L41" s="1" t="n">
        <v>7</v>
      </c>
      <c r="M41" s="1" t="n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I16" activeCellId="0" sqref="I16"/>
    </sheetView>
  </sheetViews>
  <sheetFormatPr defaultColWidth="8.43359375" defaultRowHeight="15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11.05"/>
    <col collapsed="false" customWidth="true" hidden="false" outlineLevel="0" max="3" min="3" style="1" width="7.45"/>
    <col collapsed="false" customWidth="true" hidden="false" outlineLevel="0" max="4" min="4" style="1" width="7.74"/>
    <col collapsed="false" customWidth="true" hidden="false" outlineLevel="0" max="5" min="5" style="1" width="7"/>
    <col collapsed="false" customWidth="true" hidden="false" outlineLevel="0" max="6" min="6" style="1" width="7.29"/>
    <col collapsed="false" customWidth="true" hidden="false" outlineLevel="0" max="7" min="7" style="1" width="9.99"/>
    <col collapsed="false" customWidth="true" hidden="false" outlineLevel="0" max="8" min="8" style="1" width="9.54"/>
    <col collapsed="false" customWidth="true" hidden="false" outlineLevel="0" max="9" min="9" style="1" width="6.77"/>
    <col collapsed="false" customWidth="true" hidden="false" outlineLevel="0" max="10" min="10" style="1" width="7.62"/>
    <col collapsed="false" customWidth="true" hidden="false" outlineLevel="0" max="11" min="11" style="1" width="7.17"/>
    <col collapsed="false" customWidth="true" hidden="false" outlineLevel="0" max="12" min="12" style="1" width="6.77"/>
    <col collapsed="false" customWidth="true" hidden="false" outlineLevel="0" max="13" min="13" style="1" width="7.11"/>
  </cols>
  <sheetData>
    <row r="1" s="2" customFormat="true" ht="15" hidden="false" customHeight="true" outlineLevel="0" collapsed="false">
      <c r="A1" s="2" t="s">
        <v>14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136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</row>
    <row r="2" customFormat="false" ht="13.5" hidden="false" customHeight="true" outlineLevel="0" collapsed="false">
      <c r="A2" s="1" t="s">
        <v>137</v>
      </c>
      <c r="B2" s="1" t="s">
        <v>138</v>
      </c>
      <c r="C2" s="1" t="n">
        <v>0</v>
      </c>
      <c r="D2" s="1" t="n">
        <v>0</v>
      </c>
      <c r="E2" s="1" t="n">
        <v>2</v>
      </c>
      <c r="F2" s="1" t="n">
        <v>2</v>
      </c>
      <c r="G2" s="1" t="s">
        <v>139</v>
      </c>
      <c r="H2" s="1" t="n">
        <v>8</v>
      </c>
    </row>
    <row r="3" customFormat="false" ht="13.5" hidden="false" customHeight="true" outlineLevel="0" collapsed="false">
      <c r="A3" s="1" t="s">
        <v>140</v>
      </c>
      <c r="B3" s="1" t="s">
        <v>138</v>
      </c>
      <c r="C3" s="1" t="n">
        <v>1</v>
      </c>
      <c r="D3" s="1" t="n">
        <v>3</v>
      </c>
      <c r="E3" s="1" t="n">
        <v>3</v>
      </c>
      <c r="F3" s="1" t="n">
        <v>5</v>
      </c>
      <c r="G3" s="1" t="s">
        <v>139</v>
      </c>
      <c r="H3" s="1" t="n">
        <v>16</v>
      </c>
    </row>
    <row r="4" customFormat="false" ht="13.5" hidden="false" customHeight="true" outlineLevel="0" collapsed="false">
      <c r="A4" s="1" t="s">
        <v>141</v>
      </c>
      <c r="B4" s="1" t="s">
        <v>138</v>
      </c>
      <c r="C4" s="1" t="n">
        <v>2</v>
      </c>
      <c r="D4" s="1" t="n">
        <v>4</v>
      </c>
      <c r="E4" s="1" t="n">
        <v>10</v>
      </c>
      <c r="F4" s="1" t="n">
        <v>14</v>
      </c>
      <c r="G4" s="1" t="s">
        <v>142</v>
      </c>
      <c r="H4" s="1" t="n">
        <v>22</v>
      </c>
    </row>
    <row r="5" customFormat="false" ht="13.5" hidden="false" customHeight="true" outlineLevel="0" collapsed="false">
      <c r="A5" s="1" t="s">
        <v>143</v>
      </c>
      <c r="B5" s="1" t="s">
        <v>138</v>
      </c>
      <c r="C5" s="1" t="n">
        <v>3</v>
      </c>
      <c r="D5" s="1" t="n">
        <v>5</v>
      </c>
      <c r="E5" s="1" t="n">
        <v>9</v>
      </c>
      <c r="F5" s="1" t="n">
        <v>13</v>
      </c>
      <c r="G5" s="1" t="s">
        <v>139</v>
      </c>
      <c r="H5" s="1" t="n">
        <v>18</v>
      </c>
    </row>
    <row r="6" customFormat="false" ht="13.5" hidden="false" customHeight="true" outlineLevel="0" collapsed="false">
      <c r="A6" s="1" t="s">
        <v>144</v>
      </c>
      <c r="B6" s="1" t="s">
        <v>138</v>
      </c>
      <c r="C6" s="1" t="n">
        <v>4</v>
      </c>
      <c r="D6" s="1" t="n">
        <v>6</v>
      </c>
      <c r="E6" s="1" t="n">
        <v>16</v>
      </c>
      <c r="F6" s="1" t="n">
        <v>19</v>
      </c>
      <c r="G6" s="1" t="s">
        <v>145</v>
      </c>
      <c r="H6" s="1" t="n">
        <v>20</v>
      </c>
    </row>
    <row r="7" customFormat="false" ht="13.5" hidden="false" customHeight="true" outlineLevel="0" collapsed="false">
      <c r="A7" s="1" t="s">
        <v>146</v>
      </c>
      <c r="B7" s="1" t="s">
        <v>138</v>
      </c>
      <c r="C7" s="1" t="n">
        <v>5</v>
      </c>
      <c r="D7" s="1" t="n">
        <v>7</v>
      </c>
      <c r="E7" s="1" t="n">
        <v>15</v>
      </c>
      <c r="F7" s="1" t="n">
        <v>18</v>
      </c>
      <c r="G7" s="1" t="s">
        <v>142</v>
      </c>
      <c r="H7" s="1" t="n">
        <v>18</v>
      </c>
    </row>
    <row r="8" customFormat="false" ht="13.5" hidden="false" customHeight="true" outlineLevel="0" collapsed="false">
      <c r="A8" s="1" t="s">
        <v>147</v>
      </c>
      <c r="B8" s="1" t="s">
        <v>138</v>
      </c>
      <c r="C8" s="1" t="n">
        <v>5</v>
      </c>
      <c r="D8" s="1" t="n">
        <v>6</v>
      </c>
      <c r="E8" s="1" t="n">
        <v>13</v>
      </c>
      <c r="F8" s="1" t="n">
        <v>15</v>
      </c>
      <c r="G8" s="1" t="s">
        <v>139</v>
      </c>
      <c r="H8" s="1" t="n">
        <v>15</v>
      </c>
    </row>
    <row r="9" customFormat="false" ht="13.5" hidden="false" customHeight="true" outlineLevel="0" collapsed="false">
      <c r="A9" s="1" t="s">
        <v>148</v>
      </c>
      <c r="B9" s="1" t="s">
        <v>138</v>
      </c>
      <c r="C9" s="1" t="n">
        <v>6</v>
      </c>
      <c r="D9" s="1" t="n">
        <v>8</v>
      </c>
      <c r="E9" s="1" t="n">
        <v>19</v>
      </c>
      <c r="F9" s="1" t="n">
        <v>23</v>
      </c>
      <c r="G9" s="1" t="s">
        <v>142</v>
      </c>
      <c r="H9" s="1" t="n">
        <v>24</v>
      </c>
    </row>
    <row r="10" customFormat="false" ht="13.5" hidden="false" customHeight="true" outlineLevel="0" collapsed="false">
      <c r="A10" s="1" t="s">
        <v>149</v>
      </c>
      <c r="B10" s="1" t="s">
        <v>138</v>
      </c>
      <c r="C10" s="1" t="n">
        <v>7</v>
      </c>
      <c r="D10" s="1" t="n">
        <v>10</v>
      </c>
      <c r="E10" s="1" t="n">
        <v>21</v>
      </c>
      <c r="F10" s="1" t="n">
        <v>28</v>
      </c>
      <c r="G10" s="1" t="s">
        <v>145</v>
      </c>
      <c r="H10" s="1" t="n">
        <v>25</v>
      </c>
    </row>
    <row r="11" customFormat="false" ht="13.5" hidden="false" customHeight="true" outlineLevel="0" collapsed="false">
      <c r="A11" s="1" t="s">
        <v>150</v>
      </c>
      <c r="B11" s="1" t="s">
        <v>138</v>
      </c>
      <c r="C11" s="1" t="n">
        <v>8</v>
      </c>
      <c r="D11" s="1" t="n">
        <v>10</v>
      </c>
      <c r="E11" s="1" t="n">
        <v>21</v>
      </c>
      <c r="F11" s="1" t="n">
        <v>24</v>
      </c>
      <c r="G11" s="1" t="s">
        <v>139</v>
      </c>
      <c r="H11" s="1" t="n">
        <v>28</v>
      </c>
    </row>
    <row r="12" customFormat="false" ht="13.5" hidden="false" customHeight="true" outlineLevel="0" collapsed="false">
      <c r="A12" s="1" t="s">
        <v>151</v>
      </c>
      <c r="B12" s="1" t="s">
        <v>138</v>
      </c>
      <c r="C12" s="1" t="n">
        <v>8</v>
      </c>
      <c r="D12" s="1" t="n">
        <v>10</v>
      </c>
      <c r="E12" s="1" t="n">
        <v>25</v>
      </c>
      <c r="F12" s="1" t="n">
        <v>28</v>
      </c>
      <c r="G12" s="1" t="s">
        <v>142</v>
      </c>
      <c r="H12" s="1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11" min="4" style="1" width="10"/>
  </cols>
  <sheetData>
    <row r="1" s="2" customFormat="true" ht="15" hidden="false" customHeight="true" outlineLevel="0" collapsed="false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</row>
    <row r="2" customFormat="false" ht="15" hidden="false" customHeight="true" outlineLevel="0" collapsed="false">
      <c r="A2" s="1" t="s">
        <v>152</v>
      </c>
      <c r="B2" s="1" t="s">
        <v>152</v>
      </c>
      <c r="C2" s="1" t="s">
        <v>153</v>
      </c>
      <c r="D2" s="1" t="n">
        <v>3</v>
      </c>
      <c r="E2" s="1" t="n">
        <v>10</v>
      </c>
    </row>
    <row r="3" customFormat="false" ht="15" hidden="false" customHeight="true" outlineLevel="0" collapsed="false">
      <c r="A3" s="1" t="s">
        <v>154</v>
      </c>
      <c r="B3" s="1" t="s">
        <v>154</v>
      </c>
      <c r="C3" s="1" t="s">
        <v>153</v>
      </c>
      <c r="D3" s="1" t="n">
        <v>3</v>
      </c>
      <c r="E3" s="1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23"/>
    <col collapsed="false" customWidth="true" hidden="false" outlineLevel="0" max="4" min="4" style="1" width="17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8" min="8" style="1" width="25"/>
    <col collapsed="false" customWidth="true" hidden="false" outlineLevel="0" max="9" min="9" style="1" width="16"/>
    <col collapsed="false" customWidth="true" hidden="false" outlineLevel="0" max="10" min="10" style="1" width="17"/>
    <col collapsed="false" customWidth="true" hidden="false" outlineLevel="0" max="11" min="11" style="1" width="15"/>
    <col collapsed="false" customWidth="true" hidden="false" outlineLevel="0" max="12" min="12" style="1" width="18"/>
    <col collapsed="false" customWidth="true" hidden="false" outlineLevel="0" max="13" min="13" style="1" width="17"/>
    <col collapsed="false" customWidth="true" hidden="false" outlineLevel="0" max="14" min="14" style="1" width="11"/>
    <col collapsed="false" customWidth="true" hidden="false" outlineLevel="0" max="16" min="15" style="1" width="19"/>
    <col collapsed="false" customWidth="true" hidden="false" outlineLevel="0" max="17" min="17" style="1" width="26"/>
  </cols>
  <sheetData>
    <row r="1" s="2" customFormat="true" ht="15" hidden="false" customHeight="true" outlineLevel="0" collapsed="false">
      <c r="A1" s="2" t="s">
        <v>16</v>
      </c>
      <c r="B1" s="2" t="s">
        <v>155</v>
      </c>
      <c r="C1" s="2" t="s">
        <v>156</v>
      </c>
      <c r="D1" s="2" t="s">
        <v>157</v>
      </c>
      <c r="E1" s="2" t="s">
        <v>158</v>
      </c>
      <c r="F1" s="2" t="s">
        <v>159</v>
      </c>
      <c r="G1" s="2" t="s">
        <v>160</v>
      </c>
      <c r="H1" s="2" t="s">
        <v>161</v>
      </c>
      <c r="I1" s="2" t="s">
        <v>162</v>
      </c>
      <c r="J1" s="2" t="s">
        <v>163</v>
      </c>
      <c r="K1" s="2" t="s">
        <v>164</v>
      </c>
      <c r="L1" s="2" t="s">
        <v>165</v>
      </c>
      <c r="M1" s="2" t="s">
        <v>166</v>
      </c>
      <c r="N1" s="2" t="s">
        <v>167</v>
      </c>
      <c r="O1" s="2" t="s">
        <v>168</v>
      </c>
      <c r="P1" s="2" t="s">
        <v>169</v>
      </c>
      <c r="Q1" s="2" t="s">
        <v>170</v>
      </c>
    </row>
    <row r="2" customFormat="false" ht="15" hidden="false" customHeight="true" outlineLevel="0" collapsed="false">
      <c r="A2" s="1" t="s">
        <v>79</v>
      </c>
      <c r="D2" s="1" t="n">
        <v>5</v>
      </c>
      <c r="E2" s="1" t="n">
        <v>5</v>
      </c>
      <c r="F2" s="1" t="n">
        <v>5</v>
      </c>
      <c r="H2" s="1" t="n">
        <v>5</v>
      </c>
      <c r="I2" s="1" t="n">
        <v>5</v>
      </c>
      <c r="J2" s="1" t="n">
        <v>5</v>
      </c>
      <c r="K2" s="1" t="n">
        <v>5</v>
      </c>
      <c r="L2" s="1" t="n">
        <v>5</v>
      </c>
      <c r="O2" s="1" t="n">
        <v>5</v>
      </c>
      <c r="P2" s="1" t="n">
        <v>5</v>
      </c>
    </row>
    <row r="3" customFormat="false" ht="15" hidden="false" customHeight="true" outlineLevel="0" collapsed="false">
      <c r="A3" s="1" t="s">
        <v>109</v>
      </c>
      <c r="D3" s="1" t="n">
        <v>5</v>
      </c>
      <c r="E3" s="1" t="n">
        <v>5</v>
      </c>
      <c r="F3" s="1" t="n">
        <v>5</v>
      </c>
      <c r="H3" s="1" t="n">
        <v>5</v>
      </c>
      <c r="I3" s="1" t="n">
        <v>5</v>
      </c>
      <c r="J3" s="1" t="n">
        <v>5</v>
      </c>
      <c r="K3" s="1" t="n">
        <v>5</v>
      </c>
      <c r="L3" s="1" t="n">
        <v>5</v>
      </c>
      <c r="M3" s="1" t="n">
        <v>5</v>
      </c>
      <c r="O3" s="1" t="n">
        <v>5</v>
      </c>
      <c r="P3" s="1" t="n">
        <v>5</v>
      </c>
    </row>
    <row r="4" customFormat="false" ht="15" hidden="false" customHeight="true" outlineLevel="0" collapsed="false">
      <c r="A4" s="1" t="s">
        <v>125</v>
      </c>
      <c r="B4" s="1" t="n">
        <v>5</v>
      </c>
      <c r="F4" s="1" t="n">
        <v>5</v>
      </c>
      <c r="I4" s="1" t="n">
        <v>5</v>
      </c>
      <c r="K4" s="1" t="n">
        <v>5</v>
      </c>
      <c r="M4" s="1" t="n">
        <v>5</v>
      </c>
      <c r="P4" s="1" t="n">
        <v>5</v>
      </c>
    </row>
    <row r="5" customFormat="false" ht="15" hidden="false" customHeight="true" outlineLevel="0" collapsed="false">
      <c r="A5" s="1" t="s">
        <v>130</v>
      </c>
      <c r="D5" s="1" t="n">
        <v>5</v>
      </c>
      <c r="E5" s="1" t="n">
        <v>5</v>
      </c>
      <c r="F5" s="1" t="n">
        <v>5</v>
      </c>
      <c r="G5" s="1" t="n">
        <v>5</v>
      </c>
      <c r="H5" s="1" t="n">
        <v>5</v>
      </c>
      <c r="I5" s="1" t="n">
        <v>5</v>
      </c>
      <c r="J5" s="1" t="n">
        <v>5</v>
      </c>
      <c r="K5" s="1" t="n">
        <v>5</v>
      </c>
      <c r="L5" s="1" t="n">
        <v>5</v>
      </c>
      <c r="M5" s="1" t="n">
        <v>5</v>
      </c>
      <c r="O5" s="1" t="n">
        <v>5</v>
      </c>
      <c r="P5" s="1" t="n">
        <v>5</v>
      </c>
    </row>
    <row r="6" customFormat="false" ht="15" hidden="false" customHeight="true" outlineLevel="0" collapsed="false">
      <c r="A6" s="1" t="s">
        <v>30</v>
      </c>
      <c r="B6" s="1" t="n">
        <v>5</v>
      </c>
      <c r="C6" s="1" t="n">
        <v>5</v>
      </c>
      <c r="G6" s="1" t="n">
        <v>3</v>
      </c>
      <c r="I6" s="1" t="n">
        <v>3</v>
      </c>
      <c r="J6" s="1" t="n">
        <v>5</v>
      </c>
      <c r="K6" s="1" t="n">
        <v>5</v>
      </c>
      <c r="L6" s="1" t="n">
        <v>3</v>
      </c>
      <c r="M6" s="1" t="n">
        <v>5</v>
      </c>
      <c r="N6" s="1" t="n">
        <v>5</v>
      </c>
      <c r="P6" s="1" t="n">
        <v>5</v>
      </c>
      <c r="Q6" s="1" t="n">
        <v>5</v>
      </c>
    </row>
    <row r="7" customFormat="false" ht="15" hidden="false" customHeight="true" outlineLevel="0" collapsed="false">
      <c r="A7" s="1" t="s">
        <v>43</v>
      </c>
      <c r="B7" s="1" t="n">
        <v>3</v>
      </c>
      <c r="C7" s="1" t="n">
        <v>5</v>
      </c>
      <c r="G7" s="1" t="n">
        <v>5</v>
      </c>
      <c r="I7" s="1" t="n">
        <v>5</v>
      </c>
      <c r="J7" s="1" t="n">
        <v>5</v>
      </c>
      <c r="K7" s="1" t="n">
        <v>3</v>
      </c>
      <c r="L7" s="1" t="n">
        <v>5</v>
      </c>
      <c r="M7" s="1" t="n">
        <v>5</v>
      </c>
      <c r="N7" s="1" t="n">
        <v>5</v>
      </c>
      <c r="P7" s="1" t="n">
        <v>5</v>
      </c>
      <c r="Q7" s="1" t="n">
        <v>5</v>
      </c>
    </row>
    <row r="8" customFormat="false" ht="15" hidden="false" customHeight="true" outlineLevel="0" collapsed="false">
      <c r="A8" s="1" t="s">
        <v>53</v>
      </c>
      <c r="B8" s="1" t="n">
        <v>5</v>
      </c>
      <c r="C8" s="1" t="n">
        <v>5</v>
      </c>
      <c r="G8" s="1" t="n">
        <v>5</v>
      </c>
      <c r="I8" s="1" t="n">
        <v>5</v>
      </c>
      <c r="J8" s="1" t="n">
        <v>5</v>
      </c>
      <c r="K8" s="1" t="n">
        <v>5</v>
      </c>
      <c r="L8" s="1" t="n">
        <v>5</v>
      </c>
      <c r="M8" s="1" t="n">
        <v>5</v>
      </c>
      <c r="N8" s="1" t="n">
        <v>5</v>
      </c>
      <c r="P8" s="1" t="n">
        <v>5</v>
      </c>
      <c r="Q8" s="1" t="n">
        <v>5</v>
      </c>
    </row>
    <row r="9" customFormat="false" ht="15" hidden="false" customHeight="true" outlineLevel="0" collapsed="false">
      <c r="A9" s="1" t="s">
        <v>64</v>
      </c>
      <c r="B9" s="1" t="n">
        <v>3</v>
      </c>
      <c r="C9" s="1" t="n">
        <v>5</v>
      </c>
      <c r="J9" s="1" t="n">
        <v>5</v>
      </c>
      <c r="K9" s="1" t="n">
        <v>3</v>
      </c>
      <c r="L9" s="1" t="n">
        <v>3</v>
      </c>
      <c r="M9" s="1" t="n">
        <v>5</v>
      </c>
      <c r="N9" s="1" t="n">
        <v>5</v>
      </c>
      <c r="P9" s="1" t="n">
        <v>5</v>
      </c>
      <c r="Q9" s="1" t="n">
        <v>5</v>
      </c>
    </row>
    <row r="10" customFormat="false" ht="15" hidden="false" customHeight="true" outlineLevel="0" collapsed="false">
      <c r="A10" s="1" t="s">
        <v>37</v>
      </c>
      <c r="B10" s="1" t="n">
        <v>5</v>
      </c>
      <c r="C10" s="1" t="n">
        <v>5</v>
      </c>
      <c r="G10" s="1" t="n">
        <v>3</v>
      </c>
      <c r="I10" s="1" t="n">
        <v>3</v>
      </c>
      <c r="J10" s="1" t="n">
        <v>5</v>
      </c>
      <c r="K10" s="1" t="n">
        <v>5</v>
      </c>
      <c r="L10" s="1" t="n">
        <v>3</v>
      </c>
      <c r="M10" s="1" t="n">
        <v>5</v>
      </c>
      <c r="N10" s="1" t="n">
        <v>5</v>
      </c>
      <c r="P10" s="1" t="n">
        <v>5</v>
      </c>
      <c r="Q10" s="1" t="n">
        <v>5</v>
      </c>
    </row>
    <row r="11" customFormat="false" ht="15" hidden="false" customHeight="true" outlineLevel="0" collapsed="false">
      <c r="A11" s="1" t="s">
        <v>48</v>
      </c>
      <c r="B11" s="1" t="n">
        <v>3</v>
      </c>
      <c r="C11" s="1" t="n">
        <v>5</v>
      </c>
      <c r="D11" s="1" t="n">
        <v>5</v>
      </c>
      <c r="G11" s="1" t="n">
        <v>5</v>
      </c>
      <c r="I11" s="1" t="n">
        <v>5</v>
      </c>
      <c r="J11" s="1" t="n">
        <v>5</v>
      </c>
      <c r="K11" s="1" t="n">
        <v>3</v>
      </c>
      <c r="L11" s="1" t="n">
        <v>5</v>
      </c>
      <c r="M11" s="1" t="n">
        <v>5</v>
      </c>
      <c r="N11" s="1" t="n">
        <v>5</v>
      </c>
      <c r="P11" s="1" t="n">
        <v>5</v>
      </c>
      <c r="Q11" s="1" t="n">
        <v>5</v>
      </c>
    </row>
    <row r="12" customFormat="false" ht="15" hidden="false" customHeight="true" outlineLevel="0" collapsed="false">
      <c r="A12" s="1" t="s">
        <v>59</v>
      </c>
      <c r="B12" s="1" t="n">
        <v>5</v>
      </c>
      <c r="C12" s="1" t="n">
        <v>5</v>
      </c>
      <c r="F12" s="1" t="n">
        <v>5</v>
      </c>
      <c r="G12" s="1" t="n">
        <v>5</v>
      </c>
      <c r="I12" s="1" t="n">
        <v>5</v>
      </c>
      <c r="J12" s="1" t="n">
        <v>5</v>
      </c>
      <c r="K12" s="1" t="n">
        <v>5</v>
      </c>
      <c r="L12" s="1" t="n">
        <v>5</v>
      </c>
      <c r="M12" s="1" t="n">
        <v>5</v>
      </c>
      <c r="N12" s="1" t="n">
        <v>5</v>
      </c>
      <c r="P12" s="1" t="n">
        <v>5</v>
      </c>
      <c r="Q12" s="1" t="n">
        <v>5</v>
      </c>
    </row>
    <row r="13" customFormat="false" ht="15" hidden="false" customHeight="true" outlineLevel="0" collapsed="false">
      <c r="A13" s="1" t="s">
        <v>69</v>
      </c>
      <c r="B13" s="1" t="n">
        <v>3</v>
      </c>
      <c r="C13" s="1" t="n">
        <v>5</v>
      </c>
      <c r="H13" s="1" t="n">
        <v>5</v>
      </c>
      <c r="J13" s="1" t="n">
        <v>5</v>
      </c>
      <c r="K13" s="1" t="n">
        <v>3</v>
      </c>
      <c r="L13" s="1" t="n">
        <v>3</v>
      </c>
      <c r="M13" s="1" t="n">
        <v>5</v>
      </c>
      <c r="N13" s="1" t="n">
        <v>5</v>
      </c>
      <c r="P13" s="1" t="n">
        <v>5</v>
      </c>
      <c r="Q13" s="1" t="n">
        <v>5</v>
      </c>
    </row>
    <row r="14" customFormat="false" ht="15" hidden="false" customHeight="true" outlineLevel="0" collapsed="false">
      <c r="A14" s="1" t="s">
        <v>138</v>
      </c>
      <c r="B14" s="1" t="n">
        <v>5</v>
      </c>
      <c r="C14" s="1" t="n">
        <v>5</v>
      </c>
      <c r="G14" s="1" t="n">
        <v>5</v>
      </c>
      <c r="I14" s="1" t="n">
        <v>3</v>
      </c>
      <c r="J14" s="1" t="n">
        <v>5</v>
      </c>
      <c r="K14" s="1" t="n">
        <v>5</v>
      </c>
      <c r="L14" s="1" t="n">
        <v>5</v>
      </c>
      <c r="M14" s="1" t="n">
        <v>5</v>
      </c>
      <c r="N14" s="1" t="n">
        <v>5</v>
      </c>
      <c r="P14" s="1" t="n">
        <v>5</v>
      </c>
      <c r="Q14" s="1" t="n">
        <v>5</v>
      </c>
    </row>
    <row r="15" customFormat="false" ht="15" hidden="false" customHeight="true" outlineLevel="0" collapsed="false">
      <c r="A15" s="1" t="s">
        <v>153</v>
      </c>
      <c r="B15" s="1" t="n">
        <v>5</v>
      </c>
      <c r="D15" s="1" t="n">
        <v>5</v>
      </c>
      <c r="F15" s="1" t="n">
        <v>5</v>
      </c>
      <c r="G15" s="1" t="n">
        <v>5</v>
      </c>
      <c r="H15" s="1" t="n">
        <v>5</v>
      </c>
      <c r="I15" s="1" t="n">
        <v>5</v>
      </c>
      <c r="J15" s="1" t="n">
        <v>5</v>
      </c>
      <c r="K15" s="1" t="n">
        <v>5</v>
      </c>
      <c r="L15" s="1" t="n">
        <v>5</v>
      </c>
      <c r="M15" s="1" t="n">
        <v>5</v>
      </c>
      <c r="N15" s="1" t="n">
        <v>5</v>
      </c>
      <c r="O15" s="1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10"/>
  </cols>
  <sheetData>
    <row r="1" s="2" customFormat="true" ht="15" hidden="false" customHeight="true" outlineLevel="0" collapsed="false">
      <c r="A1" s="2" t="s">
        <v>14</v>
      </c>
      <c r="B1" s="2" t="s">
        <v>171</v>
      </c>
      <c r="C1" s="2" t="s">
        <v>172</v>
      </c>
    </row>
    <row r="2" customFormat="false" ht="15" hidden="false" customHeight="true" outlineLevel="0" collapsed="false">
      <c r="A2" s="1" t="s">
        <v>147</v>
      </c>
      <c r="B2" s="1" t="s">
        <v>173</v>
      </c>
      <c r="C2" s="1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7" min="4" style="1" width="10"/>
    <col collapsed="false" customWidth="true" hidden="false" outlineLevel="0" max="8" min="8" style="1" width="12"/>
    <col collapsed="false" customWidth="true" hidden="false" outlineLevel="0" max="9" min="9" style="1" width="18"/>
    <col collapsed="false" customWidth="true" hidden="false" outlineLevel="0" max="13" min="10" style="1" width="10"/>
  </cols>
  <sheetData>
    <row r="1" s="2" customFormat="true" ht="15" hidden="false" customHeight="true" outlineLevel="0" collapsed="false">
      <c r="A1" s="2" t="s">
        <v>174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  <c r="H1" s="2" t="s">
        <v>181</v>
      </c>
      <c r="I1" s="2" t="s">
        <v>182</v>
      </c>
      <c r="J1" s="2" t="s">
        <v>183</v>
      </c>
      <c r="K1" s="2" t="s">
        <v>184</v>
      </c>
      <c r="L1" s="2" t="s">
        <v>185</v>
      </c>
      <c r="M1" s="2" t="s">
        <v>186</v>
      </c>
    </row>
    <row r="2" customFormat="false" ht="15" hidden="false" customHeight="true" outlineLevel="0" collapsed="false">
      <c r="A2" s="1" t="s">
        <v>187</v>
      </c>
      <c r="J2" s="1" t="n">
        <v>80</v>
      </c>
      <c r="L2" s="1" t="n">
        <v>20</v>
      </c>
      <c r="M2" s="1" t="n">
        <v>2</v>
      </c>
    </row>
    <row r="3" customFormat="false" ht="15" hidden="false" customHeight="true" outlineLevel="0" collapsed="false">
      <c r="A3" s="1" t="s">
        <v>188</v>
      </c>
      <c r="J3" s="1" t="n">
        <v>90</v>
      </c>
      <c r="L3" s="1" t="n">
        <v>18</v>
      </c>
      <c r="M3" s="1" t="n">
        <v>3</v>
      </c>
    </row>
    <row r="4" customFormat="false" ht="15" hidden="false" customHeight="true" outlineLevel="0" collapsed="false">
      <c r="A4" s="1" t="s">
        <v>189</v>
      </c>
      <c r="J4" s="1" t="n">
        <v>78</v>
      </c>
      <c r="L4" s="1" t="n">
        <v>15</v>
      </c>
      <c r="M4" s="1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7" min="4" style="1" width="10"/>
    <col collapsed="false" customWidth="true" hidden="false" outlineLevel="0" max="8" min="8" style="1" width="12"/>
    <col collapsed="false" customWidth="true" hidden="false" outlineLevel="0" max="9" min="9" style="1" width="18"/>
    <col collapsed="false" customWidth="true" hidden="false" outlineLevel="0" max="13" min="10" style="1" width="10"/>
  </cols>
  <sheetData>
    <row r="1" s="2" customFormat="true" ht="15" hidden="false" customHeight="true" outlineLevel="0" collapsed="false">
      <c r="A1" s="2" t="s">
        <v>174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  <c r="H1" s="2" t="s">
        <v>181</v>
      </c>
      <c r="I1" s="2" t="s">
        <v>182</v>
      </c>
      <c r="J1" s="2" t="s">
        <v>183</v>
      </c>
      <c r="K1" s="2" t="s">
        <v>184</v>
      </c>
      <c r="L1" s="2" t="s">
        <v>185</v>
      </c>
      <c r="M1" s="2" t="s">
        <v>186</v>
      </c>
    </row>
    <row r="2" customFormat="false" ht="15" hidden="false" customHeight="true" outlineLevel="0" collapsed="false">
      <c r="A2" s="1" t="s">
        <v>187</v>
      </c>
      <c r="B2" s="1" t="n">
        <v>2.5</v>
      </c>
      <c r="C2" s="1" t="n">
        <v>1.5</v>
      </c>
      <c r="D2" s="1" t="n">
        <v>0.5</v>
      </c>
      <c r="E2" s="1" t="n">
        <v>1.75</v>
      </c>
      <c r="F2" s="1" t="n">
        <v>0.75</v>
      </c>
      <c r="L2" s="1" t="n">
        <v>2</v>
      </c>
      <c r="M2" s="1" t="n">
        <v>1</v>
      </c>
    </row>
    <row r="3" customFormat="false" ht="15" hidden="false" customHeight="true" outlineLevel="0" collapsed="false">
      <c r="A3" s="1" t="s">
        <v>188</v>
      </c>
      <c r="B3" s="1" t="n">
        <v>1.25</v>
      </c>
      <c r="C3" s="1" t="n">
        <v>2.5</v>
      </c>
      <c r="D3" s="1" t="n">
        <v>0.75</v>
      </c>
      <c r="E3" s="1" t="n">
        <v>1</v>
      </c>
      <c r="F3" s="1" t="n">
        <v>1.5</v>
      </c>
      <c r="L3" s="1" t="n">
        <v>1.5</v>
      </c>
      <c r="M3" s="1" t="n">
        <v>1.5</v>
      </c>
    </row>
    <row r="4" customFormat="false" ht="15" hidden="false" customHeight="true" outlineLevel="0" collapsed="false">
      <c r="A4" s="1" t="s">
        <v>189</v>
      </c>
      <c r="B4" s="1" t="n">
        <v>1</v>
      </c>
      <c r="C4" s="1" t="n">
        <v>1.75</v>
      </c>
      <c r="D4" s="1" t="n">
        <v>2.5</v>
      </c>
      <c r="E4" s="1" t="n">
        <v>1</v>
      </c>
      <c r="F4" s="1" t="n">
        <v>0.75</v>
      </c>
      <c r="L4" s="1" t="n">
        <v>1</v>
      </c>
      <c r="M4" s="1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7" min="4" style="1" width="10"/>
    <col collapsed="false" customWidth="true" hidden="false" outlineLevel="0" max="8" min="8" style="1" width="12"/>
    <col collapsed="false" customWidth="true" hidden="false" outlineLevel="0" max="9" min="9" style="1" width="18"/>
    <col collapsed="false" customWidth="true" hidden="false" outlineLevel="0" max="13" min="10" style="1" width="10"/>
  </cols>
  <sheetData>
    <row r="1" s="2" customFormat="true" ht="15" hidden="false" customHeight="true" outlineLevel="0" collapsed="false">
      <c r="A1" s="2" t="s">
        <v>190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  <c r="H1" s="2" t="s">
        <v>181</v>
      </c>
      <c r="I1" s="2" t="s">
        <v>182</v>
      </c>
      <c r="J1" s="2" t="s">
        <v>183</v>
      </c>
      <c r="K1" s="2" t="s">
        <v>184</v>
      </c>
      <c r="L1" s="2" t="s">
        <v>185</v>
      </c>
      <c r="M1" s="2" t="s">
        <v>186</v>
      </c>
    </row>
    <row r="2" customFormat="false" ht="15" hidden="false" customHeight="true" outlineLevel="0" collapsed="false">
      <c r="A2" s="1" t="s">
        <v>191</v>
      </c>
      <c r="B2" s="1" t="n">
        <v>100</v>
      </c>
      <c r="E2" s="1" t="n">
        <v>1</v>
      </c>
      <c r="G2" s="1" t="n">
        <v>2</v>
      </c>
      <c r="H2" s="1" t="n">
        <v>0</v>
      </c>
      <c r="J2" s="1" t="n">
        <v>70</v>
      </c>
      <c r="L2" s="1" t="n">
        <v>4</v>
      </c>
    </row>
    <row r="3" customFormat="false" ht="15" hidden="false" customHeight="true" outlineLevel="0" collapsed="false">
      <c r="A3" s="1" t="s">
        <v>192</v>
      </c>
      <c r="D3" s="1" t="n">
        <v>4</v>
      </c>
      <c r="E3" s="1" t="n">
        <v>1.5</v>
      </c>
      <c r="G3" s="1" t="n">
        <v>1</v>
      </c>
      <c r="J3" s="1" t="n">
        <v>60</v>
      </c>
      <c r="L3" s="1" t="n">
        <v>3</v>
      </c>
    </row>
    <row r="4" customFormat="false" ht="15" hidden="false" customHeight="true" outlineLevel="0" collapsed="false">
      <c r="A4" s="1" t="s">
        <v>193</v>
      </c>
      <c r="B4" s="1" t="n">
        <v>20</v>
      </c>
      <c r="C4" s="1" t="n">
        <v>20</v>
      </c>
      <c r="D4" s="1" t="n">
        <v>6</v>
      </c>
      <c r="G4" s="1" t="n">
        <v>5</v>
      </c>
      <c r="J4" s="1" t="n">
        <v>0</v>
      </c>
      <c r="K4" s="1" t="n">
        <v>0</v>
      </c>
      <c r="L4" s="1" t="n">
        <v>40</v>
      </c>
    </row>
    <row r="5" customFormat="false" ht="15" hidden="false" customHeight="true" outlineLevel="0" collapsed="false">
      <c r="A5" s="1" t="s">
        <v>194</v>
      </c>
      <c r="D5" s="1" t="n">
        <v>8</v>
      </c>
      <c r="E5" s="1" t="n">
        <v>1</v>
      </c>
      <c r="G5" s="1" t="n">
        <v>1</v>
      </c>
      <c r="J5" s="1" t="n">
        <v>100</v>
      </c>
      <c r="L5" s="1" t="n">
        <v>1</v>
      </c>
    </row>
    <row r="6" customFormat="false" ht="15" hidden="false" customHeight="true" outlineLevel="0" collapsed="false">
      <c r="A6" s="1" t="s">
        <v>195</v>
      </c>
      <c r="G6" s="1" t="n">
        <v>10</v>
      </c>
      <c r="L6" s="1" t="n">
        <v>3</v>
      </c>
    </row>
    <row r="7" customFormat="false" ht="15" hidden="false" customHeight="true" outlineLevel="0" collapsed="false">
      <c r="A7" s="1" t="s">
        <v>196</v>
      </c>
      <c r="B7" s="1" t="n">
        <v>2</v>
      </c>
      <c r="C7" s="1" t="n">
        <v>7</v>
      </c>
      <c r="E7" s="1" t="n">
        <v>1.5</v>
      </c>
      <c r="F7" s="1" t="n">
        <v>2</v>
      </c>
      <c r="G7" s="1" t="n">
        <v>2</v>
      </c>
      <c r="J7" s="1" t="n">
        <v>80</v>
      </c>
      <c r="L7" s="1" t="n">
        <v>35</v>
      </c>
      <c r="M7" s="1" t="n">
        <v>2</v>
      </c>
    </row>
    <row r="8" customFormat="false" ht="15" hidden="false" customHeight="true" outlineLevel="0" collapsed="false">
      <c r="A8" s="1" t="s">
        <v>197</v>
      </c>
      <c r="B8" s="1" t="n">
        <v>2</v>
      </c>
      <c r="C8" s="1" t="n">
        <v>4</v>
      </c>
      <c r="D8" s="1" t="n">
        <v>0</v>
      </c>
      <c r="E8" s="1" t="n">
        <v>1.5</v>
      </c>
      <c r="F8" s="1" t="n">
        <v>0</v>
      </c>
      <c r="G8" s="1" t="n">
        <v>1</v>
      </c>
      <c r="J8" s="1" t="n">
        <v>80</v>
      </c>
      <c r="L8" s="1" t="n">
        <v>5</v>
      </c>
      <c r="M8" s="1" t="n">
        <v>0</v>
      </c>
    </row>
    <row r="9" customFormat="false" ht="15" hidden="false" customHeight="true" outlineLevel="0" collapsed="false">
      <c r="A9" s="1" t="s">
        <v>198</v>
      </c>
      <c r="B9" s="1" t="n">
        <v>50</v>
      </c>
      <c r="E9" s="1" t="n">
        <v>0</v>
      </c>
      <c r="G9" s="1" t="n">
        <v>1</v>
      </c>
      <c r="H9" s="1" t="n">
        <v>0</v>
      </c>
      <c r="J9" s="1" t="n">
        <v>55</v>
      </c>
      <c r="L9" s="1" t="n">
        <v>7</v>
      </c>
    </row>
    <row r="10" customFormat="false" ht="15" hidden="false" customHeight="true" outlineLevel="0" collapsed="false">
      <c r="A10" s="1" t="s">
        <v>199</v>
      </c>
      <c r="B10" s="1" t="n">
        <v>2</v>
      </c>
      <c r="E10" s="1" t="n">
        <v>2</v>
      </c>
      <c r="G10" s="1" t="n">
        <v>1</v>
      </c>
      <c r="H10" s="1" t="n">
        <v>0</v>
      </c>
      <c r="J10" s="1" t="n">
        <v>70</v>
      </c>
      <c r="L10" s="1" t="n">
        <v>1</v>
      </c>
    </row>
    <row r="11" customFormat="false" ht="15" hidden="false" customHeight="true" outlineLevel="0" collapsed="false">
      <c r="A11" s="1" t="s">
        <v>200</v>
      </c>
      <c r="B11" s="1" t="n">
        <v>4</v>
      </c>
      <c r="C11" s="1" t="n">
        <v>1</v>
      </c>
      <c r="E11" s="1" t="n">
        <v>2</v>
      </c>
      <c r="G11" s="1" t="n">
        <v>1</v>
      </c>
      <c r="H11" s="1" t="n">
        <v>0</v>
      </c>
      <c r="J11" s="1" t="n">
        <v>70</v>
      </c>
      <c r="L11" s="1" t="n">
        <v>2</v>
      </c>
    </row>
    <row r="12" customFormat="false" ht="15" hidden="false" customHeight="true" outlineLevel="0" collapsed="false">
      <c r="A12" s="1" t="s">
        <v>201</v>
      </c>
      <c r="B12" s="1" t="n">
        <v>1</v>
      </c>
      <c r="C12" s="1" t="n">
        <v>2</v>
      </c>
      <c r="E12" s="1" t="n">
        <v>0</v>
      </c>
      <c r="G12" s="1" t="n">
        <v>2</v>
      </c>
      <c r="H12" s="1" t="n">
        <v>0</v>
      </c>
      <c r="J12" s="1" t="n">
        <v>65</v>
      </c>
      <c r="L12" s="1" t="n">
        <v>1.5</v>
      </c>
    </row>
    <row r="13" customFormat="false" ht="13.5" hidden="false" customHeight="true" outlineLevel="0" collapsed="false">
      <c r="A13" s="1" t="s">
        <v>202</v>
      </c>
      <c r="B13" s="1" t="n">
        <v>5</v>
      </c>
      <c r="C13" s="1" t="n">
        <v>5</v>
      </c>
      <c r="D13" s="1" t="n">
        <v>0</v>
      </c>
      <c r="E13" s="1" t="n">
        <v>3</v>
      </c>
      <c r="F13" s="1" t="n">
        <v>2</v>
      </c>
      <c r="H13" s="1" t="n">
        <v>1.5</v>
      </c>
      <c r="J13" s="1" t="n">
        <v>70</v>
      </c>
      <c r="K13" s="1" t="n">
        <v>3</v>
      </c>
      <c r="L13" s="1" t="n">
        <v>70</v>
      </c>
      <c r="M13" s="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7" min="4" style="1" width="10"/>
    <col collapsed="false" customWidth="true" hidden="false" outlineLevel="0" max="8" min="8" style="1" width="12"/>
    <col collapsed="false" customWidth="true" hidden="false" outlineLevel="0" max="9" min="9" style="1" width="18"/>
    <col collapsed="false" customWidth="true" hidden="false" outlineLevel="0" max="13" min="10" style="1" width="10"/>
  </cols>
  <sheetData>
    <row r="1" s="2" customFormat="true" ht="15" hidden="false" customHeight="true" outlineLevel="0" collapsed="false">
      <c r="A1" s="2" t="s">
        <v>190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  <c r="H1" s="2" t="s">
        <v>181</v>
      </c>
      <c r="I1" s="2" t="s">
        <v>182</v>
      </c>
      <c r="J1" s="2" t="s">
        <v>183</v>
      </c>
      <c r="K1" s="2" t="s">
        <v>184</v>
      </c>
      <c r="L1" s="2" t="s">
        <v>185</v>
      </c>
      <c r="M1" s="2" t="s">
        <v>186</v>
      </c>
    </row>
    <row r="2" customFormat="false" ht="15" hidden="false" customHeight="true" outlineLevel="0" collapsed="false">
      <c r="A2" s="1" t="s">
        <v>191</v>
      </c>
      <c r="B2" s="1" t="n">
        <v>7</v>
      </c>
      <c r="C2" s="1" t="n">
        <v>8</v>
      </c>
      <c r="E2" s="1" t="n">
        <v>1.5</v>
      </c>
      <c r="F2" s="1" t="n">
        <v>2</v>
      </c>
      <c r="H2" s="1" t="n">
        <v>4.5</v>
      </c>
      <c r="K2" s="1" t="n">
        <v>10</v>
      </c>
      <c r="L2" s="1" t="n">
        <v>4.5</v>
      </c>
      <c r="M2" s="1" t="n">
        <v>0</v>
      </c>
    </row>
    <row r="3" customFormat="false" ht="15" hidden="false" customHeight="true" outlineLevel="0" collapsed="false">
      <c r="A3" s="1" t="s">
        <v>192</v>
      </c>
      <c r="D3" s="1" t="n">
        <v>10</v>
      </c>
      <c r="E3" s="1" t="n">
        <v>1.5</v>
      </c>
      <c r="F3" s="1" t="n">
        <v>1.5</v>
      </c>
      <c r="H3" s="1" t="n">
        <v>2.5</v>
      </c>
      <c r="K3" s="1" t="n">
        <v>1</v>
      </c>
      <c r="L3" s="1" t="n">
        <v>4.5</v>
      </c>
    </row>
    <row r="4" customFormat="false" ht="15" hidden="false" customHeight="true" outlineLevel="0" collapsed="false">
      <c r="A4" s="1" t="s">
        <v>193</v>
      </c>
      <c r="D4" s="1" t="n">
        <v>14</v>
      </c>
      <c r="F4" s="1" t="n">
        <v>1.5</v>
      </c>
      <c r="K4" s="1" t="n">
        <v>0</v>
      </c>
      <c r="L4" s="1" t="n">
        <v>0</v>
      </c>
    </row>
    <row r="5" customFormat="false" ht="15" hidden="false" customHeight="true" outlineLevel="0" collapsed="false">
      <c r="A5" s="1" t="s">
        <v>194</v>
      </c>
      <c r="D5" s="1" t="n">
        <v>6</v>
      </c>
      <c r="E5" s="1" t="n">
        <v>1</v>
      </c>
      <c r="F5" s="1" t="n">
        <v>1.5</v>
      </c>
      <c r="L5" s="1" t="n">
        <v>22</v>
      </c>
    </row>
    <row r="6" customFormat="false" ht="15" hidden="false" customHeight="true" outlineLevel="0" collapsed="false">
      <c r="A6" s="1" t="s">
        <v>195</v>
      </c>
      <c r="G6" s="1" t="n">
        <v>10</v>
      </c>
    </row>
    <row r="7" customFormat="false" ht="15" hidden="false" customHeight="true" outlineLevel="0" collapsed="false">
      <c r="A7" s="1" t="s">
        <v>196</v>
      </c>
      <c r="B7" s="1" t="n">
        <v>8</v>
      </c>
      <c r="C7" s="1" t="n">
        <v>6</v>
      </c>
      <c r="E7" s="1" t="n">
        <v>1.5</v>
      </c>
      <c r="F7" s="1" t="n">
        <v>2</v>
      </c>
      <c r="H7" s="1" t="n">
        <v>7.5</v>
      </c>
      <c r="K7" s="1" t="n">
        <v>12</v>
      </c>
      <c r="L7" s="1" t="n">
        <v>4.5</v>
      </c>
      <c r="M7" s="1" t="n">
        <v>0</v>
      </c>
    </row>
    <row r="8" customFormat="false" ht="15" hidden="false" customHeight="true" outlineLevel="0" collapsed="false">
      <c r="A8" s="1" t="s">
        <v>197</v>
      </c>
      <c r="B8" s="1" t="n">
        <v>3</v>
      </c>
      <c r="C8" s="1" t="n">
        <v>3</v>
      </c>
      <c r="D8" s="1" t="n">
        <v>2</v>
      </c>
      <c r="E8" s="1" t="n">
        <v>0.5</v>
      </c>
      <c r="F8" s="1" t="n">
        <v>1</v>
      </c>
      <c r="H8" s="1" t="n">
        <v>2</v>
      </c>
      <c r="K8" s="1" t="n">
        <v>6</v>
      </c>
      <c r="L8" s="1" t="n">
        <v>3.5</v>
      </c>
      <c r="M8" s="1" t="n">
        <v>0</v>
      </c>
    </row>
    <row r="9" customFormat="false" ht="15" hidden="false" customHeight="true" outlineLevel="0" collapsed="false">
      <c r="A9" s="1" t="s">
        <v>198</v>
      </c>
      <c r="B9" s="1" t="n">
        <v>5</v>
      </c>
      <c r="C9" s="1" t="n">
        <v>3</v>
      </c>
      <c r="E9" s="1" t="n">
        <v>2.5</v>
      </c>
      <c r="F9" s="1" t="n">
        <v>2</v>
      </c>
      <c r="H9" s="1" t="n">
        <v>4.5</v>
      </c>
      <c r="K9" s="1" t="n">
        <v>2</v>
      </c>
      <c r="L9" s="1" t="n">
        <v>4.5</v>
      </c>
      <c r="M9" s="1" t="n">
        <v>0</v>
      </c>
    </row>
    <row r="10" customFormat="false" ht="15" hidden="false" customHeight="true" outlineLevel="0" collapsed="false">
      <c r="A10" s="1" t="s">
        <v>199</v>
      </c>
      <c r="B10" s="1" t="n">
        <v>4</v>
      </c>
      <c r="C10" s="1" t="n">
        <v>4</v>
      </c>
      <c r="E10" s="1" t="n">
        <v>2</v>
      </c>
      <c r="F10" s="1" t="n">
        <v>2</v>
      </c>
      <c r="H10" s="1" t="n">
        <v>7.5</v>
      </c>
      <c r="K10" s="1" t="n">
        <v>2</v>
      </c>
      <c r="L10" s="1" t="n">
        <v>3.5</v>
      </c>
      <c r="M10" s="1" t="n">
        <v>0</v>
      </c>
    </row>
    <row r="11" customFormat="false" ht="15" hidden="false" customHeight="true" outlineLevel="0" collapsed="false">
      <c r="A11" s="1" t="s">
        <v>200</v>
      </c>
      <c r="B11" s="1" t="n">
        <v>4</v>
      </c>
      <c r="C11" s="1" t="n">
        <v>5</v>
      </c>
      <c r="D11" s="1" t="n">
        <v>2</v>
      </c>
      <c r="E11" s="1" t="n">
        <v>2</v>
      </c>
      <c r="F11" s="1" t="n">
        <v>2</v>
      </c>
      <c r="H11" s="1" t="n">
        <v>7.5</v>
      </c>
      <c r="K11" s="1" t="n">
        <v>2</v>
      </c>
      <c r="L11" s="1" t="n">
        <v>3.5</v>
      </c>
      <c r="M11" s="1" t="n">
        <v>0</v>
      </c>
    </row>
    <row r="12" customFormat="false" ht="15" hidden="false" customHeight="true" outlineLevel="0" collapsed="false">
      <c r="A12" s="1" t="s">
        <v>201</v>
      </c>
      <c r="B12" s="1" t="n">
        <v>2</v>
      </c>
      <c r="C12" s="1" t="n">
        <v>5</v>
      </c>
      <c r="D12" s="1" t="n">
        <v>2</v>
      </c>
      <c r="E12" s="1" t="n">
        <v>1</v>
      </c>
      <c r="F12" s="1" t="n">
        <v>3</v>
      </c>
      <c r="H12" s="1" t="n">
        <v>1.5</v>
      </c>
      <c r="K12" s="1" t="n">
        <v>3</v>
      </c>
      <c r="L12" s="1" t="n">
        <v>1.5</v>
      </c>
      <c r="M12" s="1" t="n">
        <v>0</v>
      </c>
    </row>
    <row r="13" customFormat="false" ht="15" hidden="false" customHeight="true" outlineLevel="0" collapsed="false">
      <c r="A13" s="1" t="s">
        <v>202</v>
      </c>
      <c r="B13" s="1" t="n">
        <v>5</v>
      </c>
      <c r="C13" s="1" t="n">
        <v>5</v>
      </c>
      <c r="D13" s="1" t="n">
        <v>0</v>
      </c>
      <c r="E13" s="1" t="n">
        <v>3</v>
      </c>
      <c r="F13" s="1" t="n">
        <v>2</v>
      </c>
      <c r="H13" s="1" t="n">
        <v>1.5</v>
      </c>
      <c r="K13" s="1" t="n">
        <v>3</v>
      </c>
      <c r="L13" s="1" t="n">
        <v>3.5</v>
      </c>
      <c r="M13" s="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2026-08-02T15:22:04Z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